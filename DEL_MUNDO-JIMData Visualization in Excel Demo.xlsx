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Computer LAB\Downloads\"/>
    </mc:Choice>
  </mc:AlternateContent>
  <xr:revisionPtr revIDLastSave="0" documentId="8_{129577B4-6345-48E3-80AD-2100F6FBC7EA}" xr6:coauthVersionLast="47" xr6:coauthVersionMax="47" xr10:uidLastSave="{00000000-0000-0000-0000-000000000000}"/>
  <bookViews>
    <workbookView xWindow="-120" yWindow="-120" windowWidth="29040" windowHeight="15840" activeTab="2" xr2:uid="{00000000-000D-0000-FFFF-FFFF00000000}"/>
  </bookViews>
  <sheets>
    <sheet name="Data" sheetId="1" r:id="rId1"/>
    <sheet name="Analyze" sheetId="5" r:id="rId2"/>
    <sheet name="Dashboard" sheetId="6" r:id="rId3"/>
  </sheets>
  <definedNames>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6" l="1"/>
  <c r="E19" i="6"/>
  <c r="E20" i="6"/>
  <c r="E21" i="6"/>
  <c r="E22" i="6"/>
  <c r="E17" i="6"/>
  <c r="B18" i="6"/>
  <c r="C18" i="6"/>
  <c r="D18" i="6"/>
  <c r="B19" i="6"/>
  <c r="C19" i="6"/>
  <c r="D19" i="6"/>
  <c r="B20" i="6"/>
  <c r="C20" i="6"/>
  <c r="D20" i="6"/>
  <c r="B21" i="6"/>
  <c r="C21" i="6"/>
  <c r="D21" i="6"/>
  <c r="B22" i="6"/>
  <c r="C22" i="6"/>
  <c r="D22" i="6"/>
  <c r="C17" i="6"/>
  <c r="D17" i="6"/>
  <c r="B17" i="6"/>
  <c r="K34" i="5"/>
  <c r="L34" i="5"/>
  <c r="K35" i="5"/>
  <c r="L35" i="5"/>
  <c r="K36" i="5"/>
  <c r="L36" i="5"/>
  <c r="K37" i="5"/>
  <c r="L37" i="5"/>
  <c r="K38" i="5"/>
  <c r="L38" i="5"/>
  <c r="K39" i="5"/>
  <c r="L39" i="5"/>
  <c r="J48" i="5"/>
  <c r="H18" i="6" s="1"/>
  <c r="K48" i="5"/>
  <c r="I18" i="6" s="1"/>
  <c r="L48" i="5"/>
  <c r="J18" i="6" s="1"/>
  <c r="J49" i="5"/>
  <c r="H19" i="6" s="1"/>
  <c r="K49" i="5"/>
  <c r="I19" i="6" s="1"/>
  <c r="L49" i="5"/>
  <c r="J19" i="6" s="1"/>
  <c r="J50" i="5"/>
  <c r="H20" i="6" s="1"/>
  <c r="K50" i="5"/>
  <c r="I20" i="6" s="1"/>
  <c r="L50" i="5"/>
  <c r="J20" i="6" s="1"/>
  <c r="J51" i="5"/>
  <c r="H21" i="6" s="1"/>
  <c r="K51" i="5"/>
  <c r="I21" i="6" s="1"/>
  <c r="L51" i="5"/>
  <c r="J21" i="6" s="1"/>
  <c r="J52" i="5"/>
  <c r="H22" i="6" s="1"/>
  <c r="K52" i="5"/>
  <c r="I22" i="6" s="1"/>
  <c r="L52" i="5"/>
  <c r="J22" i="6" s="1"/>
  <c r="K22" i="6" s="1"/>
  <c r="K47" i="5"/>
  <c r="I17" i="6" s="1"/>
  <c r="L47" i="5"/>
  <c r="J17" i="6" s="1"/>
  <c r="J47" i="5"/>
  <c r="H17" i="6" s="1"/>
  <c r="J35" i="5"/>
  <c r="J36" i="5"/>
  <c r="J37" i="5"/>
  <c r="J38" i="5"/>
  <c r="J39" i="5"/>
  <c r="J34" i="5"/>
  <c r="K18" i="6" l="1"/>
  <c r="K21" i="6"/>
  <c r="K20" i="6"/>
  <c r="K17" i="6"/>
  <c r="K19" i="6"/>
</calcChain>
</file>

<file path=xl/sharedStrings.xml><?xml version="1.0" encoding="utf-8"?>
<sst xmlns="http://schemas.openxmlformats.org/spreadsheetml/2006/main" count="48319" uniqueCount="158">
  <si>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</si>
  <si>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</si>
  <si>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</si>
  <si>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</si>
  <si>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</si>
  <si>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</si>
  <si>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</si>
  <si>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</si>
  <si>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</si>
  <si>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</si>
  <si>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</si>
  <si>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</si>
  <si>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</si>
  <si>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</si>
  <si>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</si>
  <si>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</si>
  <si>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</si>
  <si>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</si>
  <si>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</si>
  <si>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</si>
  <si>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</si>
  <si>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</si>
  <si>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</si>
  <si>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</si>
  <si>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</si>
  <si>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</si>
  <si>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</si>
  <si>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</si>
  <si>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</si>
  <si>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</si>
  <si>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</si>
  <si>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</si>
  <si>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</si>
  <si>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</si>
  <si>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</si>
  <si>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</si>
  <si>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</si>
  <si>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</si>
  <si>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</si>
  <si>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</si>
  <si>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</si>
  <si>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</si>
  <si>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</si>
  <si>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</si>
  <si>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</si>
  <si>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</si>
  <si>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</si>
  <si>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</si>
  <si>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</si>
  <si>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</si>
  <si>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</si>
  <si>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</si>
  <si>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</si>
  <si>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</si>
  <si>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</si>
  <si>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</si>
  <si>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</si>
  <si>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</si>
  <si>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</si>
  <si>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</si>
  <si>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</si>
  <si>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</si>
  <si>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</si>
  <si>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</si>
  <si>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</si>
  <si>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</si>
  <si>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</si>
  <si>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</si>
  <si>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</si>
  <si>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</si>
  <si>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</si>
  <si>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</si>
  <si>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</si>
  <si>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</si>
  <si>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</si>
  <si>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</si>
  <si>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</si>
  <si>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</si>
  <si>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</si>
  <si>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</si>
  <si>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</si>
  <si>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</si>
  <si>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</si>
  <si>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</si>
  <si>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</si>
  <si>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</si>
  <si>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</si>
  <si>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</si>
  <si>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</si>
  <si>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</si>
  <si>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</si>
  <si>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</si>
  <si>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</si>
  <si>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</si>
  <si>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</si>
  <si>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</si>
  <si>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</si>
  <si>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</si>
  <si>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</si>
  <si>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</si>
  <si>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</si>
  <si>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</si>
  <si>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</si>
  <si>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</si>
  <si>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</si>
  <si>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</si>
  <si>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</si>
  <si>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</si>
  <si>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</si>
  <si>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</si>
  <si>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</si>
  <si>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</si>
  <si>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</si>
  <si>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</si>
  <si>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</si>
  <si>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</si>
  <si>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</si>
  <si>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</si>
  <si>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</si>
  <si>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</si>
  <si>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</si>
  <si>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</si>
  <si>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</si>
  <si>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</si>
  <si>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</si>
  <si>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</si>
  <si>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</si>
  <si>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</si>
  <si>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</si>
  <si>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</si>
  <si>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</si>
  <si>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</si>
  <si>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</si>
  <si>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</si>
  <si>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</si>
  <si>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1. Display Total and Average Sales of all Retailers</t>
  </si>
  <si>
    <t>2. Display Total and Average Sales per Band</t>
  </si>
  <si>
    <t>3. Compare Retailers for 2022-2023</t>
  </si>
  <si>
    <t>Sum of Total Sales</t>
  </si>
  <si>
    <t>Average of Operating Margin</t>
  </si>
  <si>
    <t>Sum of Operating Profit</t>
  </si>
  <si>
    <t>Row Labels</t>
  </si>
  <si>
    <t>Grand Total</t>
  </si>
  <si>
    <t>Total Retailer Sales</t>
  </si>
  <si>
    <t>2022</t>
  </si>
  <si>
    <t>2023</t>
  </si>
  <si>
    <t>Qtr1</t>
  </si>
  <si>
    <t>Qtr2</t>
  </si>
  <si>
    <t>Qtr3</t>
  </si>
  <si>
    <t>Qtr4</t>
  </si>
  <si>
    <t>Average of Operating Profit</t>
  </si>
  <si>
    <t>Column Labels</t>
  </si>
  <si>
    <t>Sum of Units Sold</t>
  </si>
  <si>
    <t>BRAND</t>
  </si>
  <si>
    <t>SALES 2022</t>
  </si>
  <si>
    <t>VARIANCE</t>
  </si>
  <si>
    <t>RETAILER</t>
  </si>
  <si>
    <t>SALES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</si>
</sst>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409]#,##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theme="1" tint="0.34998626667073579"/>
        <bgColor indexed="64"/>
      </patternFill>
    </fill>
    <fill>
      <patternFill patternType="solid">
        <fgColor rgb="FFFF0000"/>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5" fillId="0" borderId="0" xfId="0" applyFont="1" applyAlignment="1">
      <alignment horizontal="center"/>
    </xf>
    <xf numFmtId="166" fontId="0" fillId="0" borderId="0" xfId="0" applyNumberFormat="1"/>
    <xf numFmtId="0" fontId="0" fillId="3" borderId="0" xfId="0" applyFill="1"/>
    <xf numFmtId="0" fontId="0" fillId="4" borderId="0" xfId="0" applyFill="1"/>
    <xf numFmtId="0" fontId="5" fillId="0" borderId="2" xfId="0" applyFont="1" applyBorder="1" applyAlignment="1">
      <alignment horizontal="left"/>
    </xf>
    <xf numFmtId="164" fontId="5" fillId="0" borderId="2" xfId="0" applyNumberFormat="1" applyFont="1" applyBorder="1" applyAlignment="1">
      <alignment horizontal="center"/>
    </xf>
    <xf numFmtId="0" fontId="0" fillId="5" borderId="0" xfId="0" applyFill="1"/>
  </cellXfs>
  <cellStyles count="2">
    <cellStyle name="Hyperlink 2" xfId="1" xr:uid="{00000000-0005-0000-0000-000000000000}"/>
    <cellStyle name="Normal" xfId="0" builtinId="0"/>
  </cellStyles>
  <dxfs count="5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Analyze!$B$63:$B$70</c:f>
              <c:strCache>
                <c:ptCount val="8"/>
                <c:pt idx="0">
                  <c:v>Qtr1</c:v>
                </c:pt>
                <c:pt idx="1">
                  <c:v>Qtr2</c:v>
                </c:pt>
                <c:pt idx="2">
                  <c:v>Qtr3</c:v>
                </c:pt>
                <c:pt idx="3">
                  <c:v>Qtr4</c:v>
                </c:pt>
                <c:pt idx="4">
                  <c:v>Qtr1</c:v>
                </c:pt>
                <c:pt idx="5">
                  <c:v>Qtr2</c:v>
                </c:pt>
                <c:pt idx="6">
                  <c:v>Qtr3</c:v>
                </c:pt>
                <c:pt idx="7">
                  <c:v>Qtr4</c:v>
                </c:pt>
              </c:strCache>
            </c:strRef>
          </c:cat>
          <c:val>
            <c:numRef>
              <c:f>Analyze!$C$63:$C$70</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5A3E-4B8D-AD86-2ED811D105DC}"/>
            </c:ext>
          </c:extLst>
        </c:ser>
        <c:dLbls>
          <c:showLegendKey val="0"/>
          <c:showVal val="0"/>
          <c:showCatName val="0"/>
          <c:showSerName val="0"/>
          <c:showPercent val="0"/>
          <c:showBubbleSize val="0"/>
        </c:dLbls>
        <c:gapWidth val="219"/>
        <c:overlap val="-27"/>
        <c:axId val="1741764735"/>
        <c:axId val="1741765215"/>
      </c:barChart>
      <c:lineChart>
        <c:grouping val="standard"/>
        <c:varyColors val="0"/>
        <c:ser>
          <c:idx val="1"/>
          <c:order val="1"/>
          <c:spPr>
            <a:ln w="28575" cap="rnd">
              <a:solidFill>
                <a:schemeClr val="accent2"/>
              </a:solidFill>
              <a:round/>
            </a:ln>
            <a:effectLst/>
          </c:spPr>
          <c:marker>
            <c:symbol val="none"/>
          </c:marker>
          <c:cat>
            <c:strRef>
              <c:f>Analyze!$B$63:$B$70</c:f>
              <c:strCache>
                <c:ptCount val="8"/>
                <c:pt idx="0">
                  <c:v>Qtr1</c:v>
                </c:pt>
                <c:pt idx="1">
                  <c:v>Qtr2</c:v>
                </c:pt>
                <c:pt idx="2">
                  <c:v>Qtr3</c:v>
                </c:pt>
                <c:pt idx="3">
                  <c:v>Qtr4</c:v>
                </c:pt>
                <c:pt idx="4">
                  <c:v>Qtr1</c:v>
                </c:pt>
                <c:pt idx="5">
                  <c:v>Qtr2</c:v>
                </c:pt>
                <c:pt idx="6">
                  <c:v>Qtr3</c:v>
                </c:pt>
                <c:pt idx="7">
                  <c:v>Qtr4</c:v>
                </c:pt>
              </c:strCache>
            </c:strRef>
          </c:cat>
          <c:val>
            <c:numRef>
              <c:f>Analyze!$D$63:$D$70</c:f>
              <c:numCache>
                <c:formatCode>"$"#,##0_);[Red]\("$"#,##0\)</c:formatCode>
                <c:ptCount val="8"/>
                <c:pt idx="0">
                  <c:v>648.07369873417747</c:v>
                </c:pt>
                <c:pt idx="1">
                  <c:v>836.1838421052629</c:v>
                </c:pt>
                <c:pt idx="2">
                  <c:v>796.47038053097333</c:v>
                </c:pt>
                <c:pt idx="3">
                  <c:v>484.96658303886926</c:v>
                </c:pt>
                <c:pt idx="4">
                  <c:v>348.13157289628185</c:v>
                </c:pt>
                <c:pt idx="5">
                  <c:v>452.75746365795629</c:v>
                </c:pt>
                <c:pt idx="6">
                  <c:v>539.54721969697061</c:v>
                </c:pt>
                <c:pt idx="7">
                  <c:v>487.66769208633156</c:v>
                </c:pt>
              </c:numCache>
            </c:numRef>
          </c:val>
          <c:smooth val="0"/>
          <c:extLst>
            <c:ext xmlns:c16="http://schemas.microsoft.com/office/drawing/2014/chart" uri="{C3380CC4-5D6E-409C-BE32-E72D297353CC}">
              <c16:uniqueId val="{00000001-5A3E-4B8D-AD86-2ED811D105DC}"/>
            </c:ext>
          </c:extLst>
        </c:ser>
        <c:dLbls>
          <c:showLegendKey val="0"/>
          <c:showVal val="0"/>
          <c:showCatName val="0"/>
          <c:showSerName val="0"/>
          <c:showPercent val="0"/>
          <c:showBubbleSize val="0"/>
        </c:dLbls>
        <c:marker val="1"/>
        <c:smooth val="0"/>
        <c:axId val="1849890607"/>
        <c:axId val="1849891087"/>
      </c:lineChart>
      <c:catAx>
        <c:axId val="174176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65215"/>
        <c:crosses val="autoZero"/>
        <c:auto val="1"/>
        <c:lblAlgn val="ctr"/>
        <c:lblOffset val="100"/>
        <c:noMultiLvlLbl val="0"/>
      </c:catAx>
      <c:valAx>
        <c:axId val="174176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64735"/>
        <c:crosses val="autoZero"/>
        <c:crossBetween val="between"/>
      </c:valAx>
      <c:valAx>
        <c:axId val="1849891087"/>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90607"/>
        <c:crosses val="max"/>
        <c:crossBetween val="between"/>
      </c:valAx>
      <c:catAx>
        <c:axId val="1849890607"/>
        <c:scaling>
          <c:orientation val="minMax"/>
        </c:scaling>
        <c:delete val="1"/>
        <c:axPos val="b"/>
        <c:numFmt formatCode="General" sourceLinked="1"/>
        <c:majorTickMark val="out"/>
        <c:minorTickMark val="none"/>
        <c:tickLblPos val="nextTo"/>
        <c:crossAx val="184989108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Analyze!$B$63:$B$70</c:f>
              <c:strCache>
                <c:ptCount val="8"/>
                <c:pt idx="0">
                  <c:v>Qtr1</c:v>
                </c:pt>
                <c:pt idx="1">
                  <c:v>Qtr2</c:v>
                </c:pt>
                <c:pt idx="2">
                  <c:v>Qtr3</c:v>
                </c:pt>
                <c:pt idx="3">
                  <c:v>Qtr4</c:v>
                </c:pt>
                <c:pt idx="4">
                  <c:v>Qtr1</c:v>
                </c:pt>
                <c:pt idx="5">
                  <c:v>Qtr2</c:v>
                </c:pt>
                <c:pt idx="6">
                  <c:v>Qtr3</c:v>
                </c:pt>
                <c:pt idx="7">
                  <c:v>Qtr4</c:v>
                </c:pt>
              </c:strCache>
            </c:strRef>
          </c:cat>
          <c:val>
            <c:numRef>
              <c:f>Analyze!$C$63:$C$70</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5CFC-4338-8DF8-220229F03587}"/>
            </c:ext>
          </c:extLst>
        </c:ser>
        <c:dLbls>
          <c:showLegendKey val="0"/>
          <c:showVal val="0"/>
          <c:showCatName val="0"/>
          <c:showSerName val="0"/>
          <c:showPercent val="0"/>
          <c:showBubbleSize val="0"/>
        </c:dLbls>
        <c:gapWidth val="219"/>
        <c:overlap val="-27"/>
        <c:axId val="1741764735"/>
        <c:axId val="1741765215"/>
      </c:barChart>
      <c:lineChart>
        <c:grouping val="standard"/>
        <c:varyColors val="0"/>
        <c:ser>
          <c:idx val="1"/>
          <c:order val="1"/>
          <c:spPr>
            <a:ln w="28575" cap="rnd">
              <a:solidFill>
                <a:schemeClr val="accent2"/>
              </a:solidFill>
              <a:round/>
            </a:ln>
            <a:effectLst/>
          </c:spPr>
          <c:marker>
            <c:symbol val="none"/>
          </c:marker>
          <c:cat>
            <c:strRef>
              <c:f>Analyze!$B$63:$B$70</c:f>
              <c:strCache>
                <c:ptCount val="8"/>
                <c:pt idx="0">
                  <c:v>Qtr1</c:v>
                </c:pt>
                <c:pt idx="1">
                  <c:v>Qtr2</c:v>
                </c:pt>
                <c:pt idx="2">
                  <c:v>Qtr3</c:v>
                </c:pt>
                <c:pt idx="3">
                  <c:v>Qtr4</c:v>
                </c:pt>
                <c:pt idx="4">
                  <c:v>Qtr1</c:v>
                </c:pt>
                <c:pt idx="5">
                  <c:v>Qtr2</c:v>
                </c:pt>
                <c:pt idx="6">
                  <c:v>Qtr3</c:v>
                </c:pt>
                <c:pt idx="7">
                  <c:v>Qtr4</c:v>
                </c:pt>
              </c:strCache>
            </c:strRef>
          </c:cat>
          <c:val>
            <c:numRef>
              <c:f>Analyze!$D$63:$D$70</c:f>
              <c:numCache>
                <c:formatCode>"$"#,##0_);[Red]\("$"#,##0\)</c:formatCode>
                <c:ptCount val="8"/>
                <c:pt idx="0">
                  <c:v>648.07369873417747</c:v>
                </c:pt>
                <c:pt idx="1">
                  <c:v>836.1838421052629</c:v>
                </c:pt>
                <c:pt idx="2">
                  <c:v>796.47038053097333</c:v>
                </c:pt>
                <c:pt idx="3">
                  <c:v>484.96658303886926</c:v>
                </c:pt>
                <c:pt idx="4">
                  <c:v>348.13157289628185</c:v>
                </c:pt>
                <c:pt idx="5">
                  <c:v>452.75746365795629</c:v>
                </c:pt>
                <c:pt idx="6">
                  <c:v>539.54721969697061</c:v>
                </c:pt>
                <c:pt idx="7">
                  <c:v>487.66769208633156</c:v>
                </c:pt>
              </c:numCache>
            </c:numRef>
          </c:val>
          <c:smooth val="0"/>
          <c:extLst>
            <c:ext xmlns:c16="http://schemas.microsoft.com/office/drawing/2014/chart" uri="{C3380CC4-5D6E-409C-BE32-E72D297353CC}">
              <c16:uniqueId val="{00000001-5CFC-4338-8DF8-220229F03587}"/>
            </c:ext>
          </c:extLst>
        </c:ser>
        <c:dLbls>
          <c:showLegendKey val="0"/>
          <c:showVal val="0"/>
          <c:showCatName val="0"/>
          <c:showSerName val="0"/>
          <c:showPercent val="0"/>
          <c:showBubbleSize val="0"/>
        </c:dLbls>
        <c:marker val="1"/>
        <c:smooth val="0"/>
        <c:axId val="1849890607"/>
        <c:axId val="1849891087"/>
      </c:lineChart>
      <c:catAx>
        <c:axId val="174176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65215"/>
        <c:crosses val="autoZero"/>
        <c:auto val="1"/>
        <c:lblAlgn val="ctr"/>
        <c:lblOffset val="100"/>
        <c:noMultiLvlLbl val="0"/>
      </c:catAx>
      <c:valAx>
        <c:axId val="174176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64735"/>
        <c:crosses val="autoZero"/>
        <c:crossBetween val="between"/>
      </c:valAx>
      <c:valAx>
        <c:axId val="1849891087"/>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90607"/>
        <c:crosses val="max"/>
        <c:crossBetween val="between"/>
      </c:valAx>
      <c:catAx>
        <c:axId val="1849890607"/>
        <c:scaling>
          <c:orientation val="minMax"/>
        </c:scaling>
        <c:delete val="1"/>
        <c:axPos val="b"/>
        <c:numFmt formatCode="General" sourceLinked="1"/>
        <c:majorTickMark val="out"/>
        <c:minorTickMark val="none"/>
        <c:tickLblPos val="nextTo"/>
        <c:crossAx val="1849891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331304</xdr:colOff>
      <xdr:row>54</xdr:row>
      <xdr:rowOff>15737</xdr:rowOff>
    </xdr:from>
    <xdr:to>
      <xdr:col>8</xdr:col>
      <xdr:colOff>571500</xdr:colOff>
      <xdr:row>67</xdr:row>
      <xdr:rowOff>174763</xdr:rowOff>
    </xdr:to>
    <xdr:graphicFrame macro="">
      <xdr:nvGraphicFramePr>
        <xdr:cNvPr id="2" name="Chart 1">
          <a:extLst>
            <a:ext uri="{FF2B5EF4-FFF2-40B4-BE49-F238E27FC236}">
              <a16:creationId xmlns:a16="http://schemas.microsoft.com/office/drawing/2014/main" id="{4F6B82A5-658B-1F63-FF4B-F8E3845BF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218246</xdr:colOff>
      <xdr:row>47</xdr:row>
      <xdr:rowOff>84068</xdr:rowOff>
    </xdr:from>
    <xdr:to>
      <xdr:col>5</xdr:col>
      <xdr:colOff>1169090</xdr:colOff>
      <xdr:row>60</xdr:row>
      <xdr:rowOff>166894</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5FCD977-3345-ABEF-0CF0-4F51AFE8C8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14616" y="9426851"/>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3</xdr:col>
      <xdr:colOff>291133</xdr:colOff>
      <xdr:row>0</xdr:row>
      <xdr:rowOff>127552</xdr:rowOff>
    </xdr:from>
    <xdr:ext cx="9953625" cy="843757"/>
    <xdr:sp macro="" textlink="">
      <xdr:nvSpPr>
        <xdr:cNvPr id="2" name="TextBox 1">
          <a:extLst>
            <a:ext uri="{FF2B5EF4-FFF2-40B4-BE49-F238E27FC236}">
              <a16:creationId xmlns:a16="http://schemas.microsoft.com/office/drawing/2014/main" id="{496BFAF5-08D0-C73F-E188-844147E6593C}"/>
            </a:ext>
          </a:extLst>
        </xdr:cNvPr>
        <xdr:cNvSpPr txBox="1"/>
      </xdr:nvSpPr>
      <xdr:spPr>
        <a:xfrm>
          <a:off x="4148758" y="127552"/>
          <a:ext cx="9953625"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4800">
              <a:solidFill>
                <a:schemeClr val="bg2"/>
              </a:solidFill>
              <a:latin typeface="+mn-lt"/>
            </a:rPr>
            <a:t>COCA COLA SALES DASHOBOARD</a:t>
          </a:r>
        </a:p>
      </xdr:txBody>
    </xdr:sp>
    <xdr:clientData/>
  </xdr:oneCellAnchor>
  <xdr:twoCellAnchor editAs="oneCell">
    <xdr:from>
      <xdr:col>0</xdr:col>
      <xdr:colOff>38929</xdr:colOff>
      <xdr:row>0</xdr:row>
      <xdr:rowOff>119270</xdr:rowOff>
    </xdr:from>
    <xdr:to>
      <xdr:col>0</xdr:col>
      <xdr:colOff>1705665</xdr:colOff>
      <xdr:row>5</xdr:row>
      <xdr:rowOff>53009</xdr:rowOff>
    </xdr:to>
    <xdr:pic>
      <xdr:nvPicPr>
        <xdr:cNvPr id="3" name="Picture 2" descr="Coca-Cola Logo and symbol, meaning, history, PNG, brand">
          <a:extLst>
            <a:ext uri="{FF2B5EF4-FFF2-40B4-BE49-F238E27FC236}">
              <a16:creationId xmlns:a16="http://schemas.microsoft.com/office/drawing/2014/main" id="{A14E3AB6-6E4C-3650-18AB-0174600DDD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929" y="119270"/>
          <a:ext cx="1666736" cy="933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256762</xdr:colOff>
      <xdr:row>6</xdr:row>
      <xdr:rowOff>99392</xdr:rowOff>
    </xdr:from>
    <xdr:to>
      <xdr:col>5</xdr:col>
      <xdr:colOff>66261</xdr:colOff>
      <xdr:row>11</xdr:row>
      <xdr:rowOff>140805</xdr:rowOff>
    </xdr:to>
    <xdr:sp macro="" textlink="">
      <xdr:nvSpPr>
        <xdr:cNvPr id="4" name="Rectangle: Rounded Corners 3">
          <a:extLst>
            <a:ext uri="{FF2B5EF4-FFF2-40B4-BE49-F238E27FC236}">
              <a16:creationId xmlns:a16="http://schemas.microsoft.com/office/drawing/2014/main" id="{E8CE5FBD-666D-351B-DFFA-6DE0B1CFC7FF}"/>
            </a:ext>
          </a:extLst>
        </xdr:cNvPr>
        <xdr:cNvSpPr/>
      </xdr:nvSpPr>
      <xdr:spPr>
        <a:xfrm>
          <a:off x="2029240" y="1292088"/>
          <a:ext cx="3255064" cy="1035326"/>
        </a:xfrm>
        <a:prstGeom prst="roundRect">
          <a:avLst/>
        </a:prstGeom>
        <a:solidFill>
          <a:schemeClr val="tx1">
            <a:lumMod val="50000"/>
            <a:lumOff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2000" b="1"/>
            <a:t>Total Sales</a:t>
          </a:r>
        </a:p>
      </xdr:txBody>
    </xdr:sp>
    <xdr:clientData/>
  </xdr:twoCellAnchor>
  <xdr:twoCellAnchor>
    <xdr:from>
      <xdr:col>2</xdr:col>
      <xdr:colOff>534227</xdr:colOff>
      <xdr:row>8</xdr:row>
      <xdr:rowOff>123826</xdr:rowOff>
    </xdr:from>
    <xdr:to>
      <xdr:col>4</xdr:col>
      <xdr:colOff>708162</xdr:colOff>
      <xdr:row>10</xdr:row>
      <xdr:rowOff>39757</xdr:rowOff>
    </xdr:to>
    <xdr:sp macro="" textlink="Analyze!B17">
      <xdr:nvSpPr>
        <xdr:cNvPr id="6" name="TextBox 5">
          <a:extLst>
            <a:ext uri="{FF2B5EF4-FFF2-40B4-BE49-F238E27FC236}">
              <a16:creationId xmlns:a16="http://schemas.microsoft.com/office/drawing/2014/main" id="{2C23A340-13E5-C8EF-9A3C-84BC37216A7F}"/>
            </a:ext>
          </a:extLst>
        </xdr:cNvPr>
        <xdr:cNvSpPr txBox="1"/>
      </xdr:nvSpPr>
      <xdr:spPr>
        <a:xfrm>
          <a:off x="3439352" y="1724026"/>
          <a:ext cx="2078935" cy="31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9322D8-F8E0-4FF3-9D89-E6FCF6278AC9}" type="TxLink">
            <a:rPr lang="en-US" sz="2000" b="1" i="0" u="none" strike="noStrike">
              <a:solidFill>
                <a:schemeClr val="bg1"/>
              </a:solidFill>
              <a:latin typeface="Calibri"/>
              <a:cs typeface="Calibri"/>
            </a:rPr>
            <a:pPr algn="ctr"/>
            <a:t>$12,016,665 </a:t>
          </a:fld>
          <a:endParaRPr lang="en-PH" sz="1800" b="1">
            <a:solidFill>
              <a:schemeClr val="bg1"/>
            </a:solidFill>
          </a:endParaRPr>
        </a:p>
      </xdr:txBody>
    </xdr:sp>
    <xdr:clientData/>
  </xdr:twoCellAnchor>
  <xdr:twoCellAnchor>
    <xdr:from>
      <xdr:col>5</xdr:col>
      <xdr:colOff>202097</xdr:colOff>
      <xdr:row>6</xdr:row>
      <xdr:rowOff>119270</xdr:rowOff>
    </xdr:from>
    <xdr:to>
      <xdr:col>9</xdr:col>
      <xdr:colOff>11595</xdr:colOff>
      <xdr:row>11</xdr:row>
      <xdr:rowOff>160683</xdr:rowOff>
    </xdr:to>
    <xdr:sp macro="" textlink="">
      <xdr:nvSpPr>
        <xdr:cNvPr id="8" name="Rectangle: Rounded Corners 7">
          <a:extLst>
            <a:ext uri="{FF2B5EF4-FFF2-40B4-BE49-F238E27FC236}">
              <a16:creationId xmlns:a16="http://schemas.microsoft.com/office/drawing/2014/main" id="{1764C672-370F-4284-816A-C4E77EDCECC9}"/>
            </a:ext>
          </a:extLst>
        </xdr:cNvPr>
        <xdr:cNvSpPr/>
      </xdr:nvSpPr>
      <xdr:spPr>
        <a:xfrm>
          <a:off x="5420140" y="1311966"/>
          <a:ext cx="3255064" cy="1035326"/>
        </a:xfrm>
        <a:prstGeom prst="roundRect">
          <a:avLst/>
        </a:prstGeom>
        <a:solidFill>
          <a:schemeClr val="tx1">
            <a:lumMod val="50000"/>
            <a:lumOff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2000" b="1"/>
            <a:t>TOTAL</a:t>
          </a:r>
          <a:r>
            <a:rPr lang="en-PH" sz="2000" b="1" baseline="0"/>
            <a:t> UNIT SOLD</a:t>
          </a:r>
          <a:endParaRPr lang="en-PH" sz="2000" b="1"/>
        </a:p>
      </xdr:txBody>
    </xdr:sp>
    <xdr:clientData/>
  </xdr:twoCellAnchor>
  <xdr:twoCellAnchor>
    <xdr:from>
      <xdr:col>6</xdr:col>
      <xdr:colOff>3314</xdr:colOff>
      <xdr:row>9</xdr:row>
      <xdr:rowOff>36445</xdr:rowOff>
    </xdr:from>
    <xdr:to>
      <xdr:col>8</xdr:col>
      <xdr:colOff>177249</xdr:colOff>
      <xdr:row>10</xdr:row>
      <xdr:rowOff>152401</xdr:rowOff>
    </xdr:to>
    <xdr:sp macro="" textlink="Analyze!G27">
      <xdr:nvSpPr>
        <xdr:cNvPr id="9" name="TextBox 8">
          <a:extLst>
            <a:ext uri="{FF2B5EF4-FFF2-40B4-BE49-F238E27FC236}">
              <a16:creationId xmlns:a16="http://schemas.microsoft.com/office/drawing/2014/main" id="{6FDCFC55-79DB-4E96-907A-2F1B7E77CCC7}"/>
            </a:ext>
          </a:extLst>
        </xdr:cNvPr>
        <xdr:cNvSpPr txBox="1"/>
      </xdr:nvSpPr>
      <xdr:spPr>
        <a:xfrm>
          <a:off x="6082749" y="1825488"/>
          <a:ext cx="1896717"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073E14-4912-4CAC-A889-AE386881FB59}" type="TxLink">
            <a:rPr lang="en-US" sz="1800" b="0" i="0" u="none" strike="noStrike">
              <a:solidFill>
                <a:schemeClr val="bg1"/>
              </a:solidFill>
              <a:latin typeface="Calibri"/>
              <a:cs typeface="Calibri"/>
            </a:rPr>
            <a:pPr algn="ctr"/>
            <a:t>24,788,610</a:t>
          </a:fld>
          <a:endParaRPr lang="en-PH" sz="2800" b="1">
            <a:solidFill>
              <a:schemeClr val="bg1"/>
            </a:solidFill>
          </a:endParaRPr>
        </a:p>
      </xdr:txBody>
    </xdr:sp>
    <xdr:clientData/>
  </xdr:twoCellAnchor>
  <xdr:twoCellAnchor>
    <xdr:from>
      <xdr:col>9</xdr:col>
      <xdr:colOff>152402</xdr:colOff>
      <xdr:row>6</xdr:row>
      <xdr:rowOff>127552</xdr:rowOff>
    </xdr:from>
    <xdr:to>
      <xdr:col>12</xdr:col>
      <xdr:colOff>823292</xdr:colOff>
      <xdr:row>11</xdr:row>
      <xdr:rowOff>168965</xdr:rowOff>
    </xdr:to>
    <xdr:sp macro="" textlink="">
      <xdr:nvSpPr>
        <xdr:cNvPr id="10" name="Rectangle: Rounded Corners 9">
          <a:extLst>
            <a:ext uri="{FF2B5EF4-FFF2-40B4-BE49-F238E27FC236}">
              <a16:creationId xmlns:a16="http://schemas.microsoft.com/office/drawing/2014/main" id="{514DE477-BA36-4C07-8B78-16E1CCD828D2}"/>
            </a:ext>
          </a:extLst>
        </xdr:cNvPr>
        <xdr:cNvSpPr/>
      </xdr:nvSpPr>
      <xdr:spPr>
        <a:xfrm>
          <a:off x="8816011" y="1320248"/>
          <a:ext cx="3255064" cy="1035326"/>
        </a:xfrm>
        <a:prstGeom prst="roundRect">
          <a:avLst/>
        </a:prstGeom>
        <a:solidFill>
          <a:schemeClr val="tx1">
            <a:lumMod val="50000"/>
            <a:lumOff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1800" b="1"/>
            <a:t>AVERAGE</a:t>
          </a:r>
          <a:r>
            <a:rPr lang="en-PH" sz="1800" b="1" baseline="0"/>
            <a:t> </a:t>
          </a:r>
          <a:r>
            <a:rPr lang="en-PH" sz="1600" b="1" baseline="0"/>
            <a:t>OPERATING</a:t>
          </a:r>
          <a:r>
            <a:rPr lang="en-PH" sz="1800" b="1" baseline="0"/>
            <a:t> MARGIN</a:t>
          </a:r>
          <a:endParaRPr lang="en-PH" sz="1800" b="1"/>
        </a:p>
      </xdr:txBody>
    </xdr:sp>
    <xdr:clientData/>
  </xdr:twoCellAnchor>
  <xdr:twoCellAnchor>
    <xdr:from>
      <xdr:col>9</xdr:col>
      <xdr:colOff>826605</xdr:colOff>
      <xdr:row>9</xdr:row>
      <xdr:rowOff>39758</xdr:rowOff>
    </xdr:from>
    <xdr:to>
      <xdr:col>12</xdr:col>
      <xdr:colOff>139148</xdr:colOff>
      <xdr:row>10</xdr:row>
      <xdr:rowOff>155714</xdr:rowOff>
    </xdr:to>
    <xdr:sp macro="" textlink="Analyze!G17">
      <xdr:nvSpPr>
        <xdr:cNvPr id="11" name="TextBox 10">
          <a:extLst>
            <a:ext uri="{FF2B5EF4-FFF2-40B4-BE49-F238E27FC236}">
              <a16:creationId xmlns:a16="http://schemas.microsoft.com/office/drawing/2014/main" id="{7069E671-9BA7-4324-9F0B-10625B8BE6A8}"/>
            </a:ext>
          </a:extLst>
        </xdr:cNvPr>
        <xdr:cNvSpPr txBox="1"/>
      </xdr:nvSpPr>
      <xdr:spPr>
        <a:xfrm>
          <a:off x="9490214" y="1828801"/>
          <a:ext cx="1896717"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612784-DDDC-46D1-9648-3B935F13060C}" type="TxLink">
            <a:rPr lang="en-US" sz="1800" b="0" i="0" u="none" strike="noStrike">
              <a:solidFill>
                <a:schemeClr val="bg1"/>
              </a:solidFill>
              <a:latin typeface="Calibri"/>
              <a:cs typeface="Calibri"/>
            </a:rPr>
            <a:pPr algn="ctr"/>
            <a:t>42%</a:t>
          </a:fld>
          <a:endParaRPr lang="en-PH" sz="2800" b="1">
            <a:solidFill>
              <a:schemeClr val="bg1"/>
            </a:solidFill>
          </a:endParaRPr>
        </a:p>
      </xdr:txBody>
    </xdr:sp>
    <xdr:clientData/>
  </xdr:twoCellAnchor>
  <xdr:twoCellAnchor>
    <xdr:from>
      <xdr:col>13</xdr:col>
      <xdr:colOff>81172</xdr:colOff>
      <xdr:row>6</xdr:row>
      <xdr:rowOff>106017</xdr:rowOff>
    </xdr:from>
    <xdr:to>
      <xdr:col>16</xdr:col>
      <xdr:colOff>752062</xdr:colOff>
      <xdr:row>11</xdr:row>
      <xdr:rowOff>147430</xdr:rowOff>
    </xdr:to>
    <xdr:sp macro="" textlink="">
      <xdr:nvSpPr>
        <xdr:cNvPr id="12" name="Rectangle: Rounded Corners 11">
          <a:extLst>
            <a:ext uri="{FF2B5EF4-FFF2-40B4-BE49-F238E27FC236}">
              <a16:creationId xmlns:a16="http://schemas.microsoft.com/office/drawing/2014/main" id="{CEDDB812-0EAE-44D3-AF2B-F9AC60F52648}"/>
            </a:ext>
          </a:extLst>
        </xdr:cNvPr>
        <xdr:cNvSpPr/>
      </xdr:nvSpPr>
      <xdr:spPr>
        <a:xfrm>
          <a:off x="12190346" y="1298713"/>
          <a:ext cx="3255064" cy="1035326"/>
        </a:xfrm>
        <a:prstGeom prst="roundRect">
          <a:avLst/>
        </a:prstGeom>
        <a:solidFill>
          <a:schemeClr val="tx1">
            <a:lumMod val="50000"/>
            <a:lumOff val="5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PH" sz="1800" b="1"/>
            <a:t>AVERAGE</a:t>
          </a:r>
          <a:r>
            <a:rPr lang="en-PH" sz="1800" b="1" baseline="0"/>
            <a:t> OPERATING PROFIT</a:t>
          </a:r>
          <a:endParaRPr lang="en-PH" sz="1800" b="1"/>
        </a:p>
      </xdr:txBody>
    </xdr:sp>
    <xdr:clientData/>
  </xdr:twoCellAnchor>
  <xdr:twoCellAnchor>
    <xdr:from>
      <xdr:col>13</xdr:col>
      <xdr:colOff>738810</xdr:colOff>
      <xdr:row>9</xdr:row>
      <xdr:rowOff>34788</xdr:rowOff>
    </xdr:from>
    <xdr:to>
      <xdr:col>16</xdr:col>
      <xdr:colOff>51353</xdr:colOff>
      <xdr:row>10</xdr:row>
      <xdr:rowOff>150744</xdr:rowOff>
    </xdr:to>
    <xdr:sp macro="" textlink="Analyze!F23">
      <xdr:nvSpPr>
        <xdr:cNvPr id="13" name="TextBox 12">
          <a:extLst>
            <a:ext uri="{FF2B5EF4-FFF2-40B4-BE49-F238E27FC236}">
              <a16:creationId xmlns:a16="http://schemas.microsoft.com/office/drawing/2014/main" id="{701089EC-84BA-4096-BF73-F1F70DDBD09E}"/>
            </a:ext>
          </a:extLst>
        </xdr:cNvPr>
        <xdr:cNvSpPr txBox="1"/>
      </xdr:nvSpPr>
      <xdr:spPr>
        <a:xfrm>
          <a:off x="12847984" y="1823831"/>
          <a:ext cx="1896717"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539D4D-3EB8-4CBE-8897-6BBD34B42ACE}" type="TxLink">
            <a:rPr lang="en-US" sz="1600" b="0" i="0" u="none" strike="noStrike">
              <a:solidFill>
                <a:schemeClr val="bg1"/>
              </a:solidFill>
              <a:latin typeface="Calibri"/>
              <a:cs typeface="Calibri"/>
            </a:rPr>
            <a:pPr algn="ctr"/>
            <a:t>$489 </a:t>
          </a:fld>
          <a:endParaRPr lang="en-PH" sz="3600" b="1">
            <a:solidFill>
              <a:schemeClr val="bg1"/>
            </a:solidFill>
          </a:endParaRPr>
        </a:p>
      </xdr:txBody>
    </xdr:sp>
    <xdr:clientData/>
  </xdr:twoCellAnchor>
  <xdr:twoCellAnchor>
    <xdr:from>
      <xdr:col>1</xdr:col>
      <xdr:colOff>285750</xdr:colOff>
      <xdr:row>13</xdr:row>
      <xdr:rowOff>190500</xdr:rowOff>
    </xdr:from>
    <xdr:to>
      <xdr:col>5</xdr:col>
      <xdr:colOff>333375</xdr:colOff>
      <xdr:row>15</xdr:row>
      <xdr:rowOff>106431</xdr:rowOff>
    </xdr:to>
    <xdr:sp macro="" textlink="">
      <xdr:nvSpPr>
        <xdr:cNvPr id="14" name="TextBox 13">
          <a:extLst>
            <a:ext uri="{FF2B5EF4-FFF2-40B4-BE49-F238E27FC236}">
              <a16:creationId xmlns:a16="http://schemas.microsoft.com/office/drawing/2014/main" id="{7851D714-586C-41C4-818D-29E459BD3F2C}"/>
            </a:ext>
          </a:extLst>
        </xdr:cNvPr>
        <xdr:cNvSpPr txBox="1"/>
      </xdr:nvSpPr>
      <xdr:spPr>
        <a:xfrm>
          <a:off x="2057400" y="2790825"/>
          <a:ext cx="5248275" cy="449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SALES</a:t>
          </a:r>
          <a:r>
            <a:rPr lang="en-US" sz="1600" b="1" i="0" u="none" strike="noStrike" baseline="0">
              <a:solidFill>
                <a:schemeClr val="bg1"/>
              </a:solidFill>
              <a:latin typeface="Calibri"/>
              <a:cs typeface="Calibri"/>
            </a:rPr>
            <a:t> BY BEVERAGE BRAND</a:t>
          </a:r>
          <a:endParaRPr lang="en-US" sz="1600" b="1" i="0" u="none" strike="noStrike">
            <a:solidFill>
              <a:schemeClr val="bg1"/>
            </a:solidFill>
            <a:latin typeface="Calibri"/>
            <a:cs typeface="Calibri"/>
          </a:endParaRPr>
        </a:p>
      </xdr:txBody>
    </xdr:sp>
    <xdr:clientData/>
  </xdr:twoCellAnchor>
  <xdr:twoCellAnchor>
    <xdr:from>
      <xdr:col>6</xdr:col>
      <xdr:colOff>828675</xdr:colOff>
      <xdr:row>13</xdr:row>
      <xdr:rowOff>180975</xdr:rowOff>
    </xdr:from>
    <xdr:to>
      <xdr:col>14</xdr:col>
      <xdr:colOff>457200</xdr:colOff>
      <xdr:row>14</xdr:row>
      <xdr:rowOff>296931</xdr:rowOff>
    </xdr:to>
    <xdr:sp macro="" textlink="Analyze!B17">
      <xdr:nvSpPr>
        <xdr:cNvPr id="16" name="TextBox 15">
          <a:extLst>
            <a:ext uri="{FF2B5EF4-FFF2-40B4-BE49-F238E27FC236}">
              <a16:creationId xmlns:a16="http://schemas.microsoft.com/office/drawing/2014/main" id="{24FC97F5-65D2-4F5D-8E30-6DD0E2C5D484}"/>
            </a:ext>
          </a:extLst>
        </xdr:cNvPr>
        <xdr:cNvSpPr txBox="1"/>
      </xdr:nvSpPr>
      <xdr:spPr>
        <a:xfrm>
          <a:off x="8658225" y="2781300"/>
          <a:ext cx="8905875" cy="31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SALES</a:t>
          </a:r>
          <a:r>
            <a:rPr lang="en-US" sz="1600" b="1" i="0" u="none" strike="noStrike" baseline="0">
              <a:solidFill>
                <a:schemeClr val="bg1"/>
              </a:solidFill>
              <a:latin typeface="Calibri"/>
              <a:cs typeface="Calibri"/>
            </a:rPr>
            <a:t> BY RETAILER</a:t>
          </a:r>
          <a:endParaRPr lang="en-PH" sz="1400" b="1">
            <a:solidFill>
              <a:schemeClr val="bg1"/>
            </a:solidFill>
          </a:endParaRPr>
        </a:p>
      </xdr:txBody>
    </xdr:sp>
    <xdr:clientData/>
  </xdr:twoCellAnchor>
  <xdr:twoCellAnchor>
    <xdr:from>
      <xdr:col>0</xdr:col>
      <xdr:colOff>1771649</xdr:colOff>
      <xdr:row>23</xdr:row>
      <xdr:rowOff>9525</xdr:rowOff>
    </xdr:from>
    <xdr:to>
      <xdr:col>10</xdr:col>
      <xdr:colOff>2390775</xdr:colOff>
      <xdr:row>43</xdr:row>
      <xdr:rowOff>66675</xdr:rowOff>
    </xdr:to>
    <xdr:graphicFrame macro="">
      <xdr:nvGraphicFramePr>
        <xdr:cNvPr id="5" name="Chart 4">
          <a:extLst>
            <a:ext uri="{FF2B5EF4-FFF2-40B4-BE49-F238E27FC236}">
              <a16:creationId xmlns:a16="http://schemas.microsoft.com/office/drawing/2014/main" id="{18BF8DFF-C649-494D-80E5-DECD4E42C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0</xdr:rowOff>
    </xdr:from>
    <xdr:to>
      <xdr:col>1</xdr:col>
      <xdr:colOff>57150</xdr:colOff>
      <xdr:row>20</xdr:row>
      <xdr:rowOff>133350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CA121A2B-1705-457F-ACBA-200F439896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60020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787199074" createdVersion="8" refreshedVersion="8" minRefreshableVersion="3" recordCount="9648" xr:uid="{FB39FD7D-892D-4DB1-A157-7196750B1A5D}">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670348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0F73E9-DD73-4C26-8D10-39B2DC8FA95A}"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8:D59"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dataField="1"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11">
    <i>
      <x v="1"/>
    </i>
    <i r="1">
      <x v="1"/>
    </i>
    <i r="1">
      <x v="2"/>
    </i>
    <i r="1">
      <x v="3"/>
    </i>
    <i r="1">
      <x v="4"/>
    </i>
    <i>
      <x v="2"/>
    </i>
    <i r="1">
      <x v="1"/>
    </i>
    <i r="1">
      <x v="2"/>
    </i>
    <i r="1">
      <x v="3"/>
    </i>
    <i r="1">
      <x v="4"/>
    </i>
    <i t="grand">
      <x/>
    </i>
  </rowItems>
  <colFields count="1">
    <field x="-2"/>
  </colFields>
  <colItems count="2">
    <i>
      <x/>
    </i>
    <i i="1">
      <x v="1"/>
    </i>
  </colItems>
  <dataFields count="2">
    <dataField name="Total Retailer Sales" fld="9" baseField="0" baseItem="0" numFmtId="164"/>
    <dataField name="Average of Operating Profit" fld="10" subtotal="average" baseField="13" baseItem="4" numFmtId="164"/>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73DA0-C350-4512-A642-93BB91266939}"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6:F17"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23C5C-073B-4F07-B840-B7218780965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6:D17"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F1367-0AE3-4C04-8F8C-B6F7776F7DBA}" name="PivotTable7"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G45:I52"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2">
            <reference field="4294967294" count="1" selected="0">
              <x v="0"/>
            </reference>
            <reference field="14" count="1" selected="0">
              <x v="1"/>
            </reference>
          </references>
        </pivotArea>
      </autoSortScope>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6"/>
  </rowFields>
  <rowItems count="6">
    <i>
      <x/>
    </i>
    <i>
      <x v="1"/>
    </i>
    <i>
      <x v="2"/>
    </i>
    <i>
      <x v="5"/>
    </i>
    <i>
      <x v="4"/>
    </i>
    <i>
      <x v="3"/>
    </i>
  </rowItems>
  <colFields count="1">
    <field x="14"/>
  </colFields>
  <colItems count="2">
    <i>
      <x v="1"/>
    </i>
    <i>
      <x v="2"/>
    </i>
  </colItems>
  <dataFields count="1">
    <dataField name="Sum of Total Sales" fld="9" baseField="0" baseItem="0" numFmtId="16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4E43D3-97E4-4DD5-BE7B-DE546A38AD19}"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G32:I39" firstHeaderRow="1" firstDataRow="2" firstDataCol="1"/>
  <pivotFields count="15">
    <pivotField axis="axisRow" showAll="0" sortType="descending">
      <items count="7">
        <item x="4"/>
        <item x="3"/>
        <item x="5"/>
        <item x="2"/>
        <item x="0"/>
        <item x="1"/>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ECDA21-88BA-4E13-BC9F-1B0B6D16DDE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6:B17"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BD7375-1B91-4DEF-A88F-5264A757C0C2}"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6:G27"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138610-ACED-4D45-890E-09C141FEB870}"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2:F2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7C035C-2105-4D5E-8CAA-7826692D10D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6:G17"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B868D9-CE92-49F8-A50F-6C369A78F3B6}" sourceName="Region">
  <pivotTables>
    <pivotTable tabId="5" name="PivotTable7"/>
  </pivotTables>
  <data>
    <tabular pivotCacheId="1670348783">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20FFEB5-5941-4089-BAF2-6F970BDEF9D9}"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207AA3D-DC0F-4104-AFCC-7ACC87177EF8}"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54" dataDxfId="53" tableBorderDxfId="52">
  <autoFilter ref="B4:M9652" xr:uid="{00000000-0009-0000-0100-000001000000}"/>
  <tableColumns count="12">
    <tableColumn id="1" xr3:uid="{00000000-0010-0000-0000-000001000000}" name="Retailer" dataDxfId="51"/>
    <tableColumn id="2" xr3:uid="{00000000-0010-0000-0000-000002000000}" name="Retailer ID" dataDxfId="50"/>
    <tableColumn id="3" xr3:uid="{00000000-0010-0000-0000-000003000000}" name="Invoice Date" dataDxfId="49"/>
    <tableColumn id="4" xr3:uid="{00000000-0010-0000-0000-000004000000}" name="Region" dataDxfId="48"/>
    <tableColumn id="5" xr3:uid="{00000000-0010-0000-0000-000005000000}" name="State" dataDxfId="47"/>
    <tableColumn id="6" xr3:uid="{00000000-0010-0000-0000-000006000000}" name="City" dataDxfId="46"/>
    <tableColumn id="7" xr3:uid="{00000000-0010-0000-0000-000007000000}" name="Beverage Brand" dataDxfId="45"/>
    <tableColumn id="8" xr3:uid="{00000000-0010-0000-0000-000008000000}" name="Price per Unit" dataDxfId="44"/>
    <tableColumn id="9" xr3:uid="{00000000-0010-0000-0000-000009000000}" name="Units Sold" dataDxfId="43"/>
    <tableColumn id="10" xr3:uid="{00000000-0010-0000-0000-00000A000000}" name="Total Sales" dataDxfId="42"/>
    <tableColumn id="11" xr3:uid="{00000000-0010-0000-0000-00000B000000}" name="Operating Profit" dataDxfId="41"/>
    <tableColumn id="12" xr3:uid="{00000000-0010-0000-0000-00000C000000}" name="Operating Margin"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5" zoomScaleNormal="100" workbookViewId="0">
      <selection activeCell="D17" sqref="B5:M9652"/>
    </sheetView>
  </sheetViews>
  <sheetFormatPr defaultColWidth="11.25" defaultRowHeight="15.75" x14ac:dyDescent="0.25"/>
  <cols>
    <col min="1" max="1" width="8.75" bestFit="1" customWidth="1"/>
    <col min="2" max="2" width="31.625" bestFit="1" customWidth="1"/>
    <col min="3" max="3" width="13.75" bestFit="1" customWidth="1"/>
    <col min="4" max="4" width="15.5" bestFit="1" customWidth="1"/>
    <col min="5" max="5" width="10.75" bestFit="1" customWidth="1"/>
    <col min="6" max="6" width="13.875" bestFit="1" customWidth="1"/>
    <col min="7" max="7" width="12.75" bestFit="1" customWidth="1"/>
    <col min="8" max="8" width="18.5" bestFit="1" customWidth="1"/>
    <col min="9" max="9" width="16.625" bestFit="1" customWidth="1"/>
    <col min="10" max="10" width="13.5" bestFit="1" customWidth="1"/>
    <col min="11" max="11" width="14" bestFit="1" customWidth="1"/>
    <col min="12" max="12" width="19" bestFit="1" customWidth="1"/>
    <col min="13" max="13" width="20.25" bestFit="1"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1"/>
  <sheetViews>
    <sheetView topLeftCell="A40" zoomScale="115" zoomScaleNormal="115" workbookViewId="0">
      <selection activeCell="G45" sqref="G45:I52"/>
      <pivotSelection pane="bottomRight" activeRow="44" activeCol="6" click="1" r:id="rId4">
        <pivotArea type="all" dataOnly="0" outline="0" fieldPosition="0"/>
      </pivotSelection>
    </sheetView>
  </sheetViews>
  <sheetFormatPr defaultColWidth="8.75" defaultRowHeight="15.75" x14ac:dyDescent="0.25"/>
  <cols>
    <col min="1" max="1" width="42.25" bestFit="1" customWidth="1"/>
    <col min="2" max="2" width="12.375" bestFit="1" customWidth="1"/>
    <col min="3" max="3" width="17.375" bestFit="1" customWidth="1"/>
    <col min="4" max="4" width="25" bestFit="1" customWidth="1"/>
    <col min="5" max="5" width="11.5" bestFit="1" customWidth="1"/>
    <col min="6" max="6" width="25" bestFit="1" customWidth="1"/>
    <col min="7" max="7" width="16.625" bestFit="1" customWidth="1"/>
    <col min="8" max="8" width="15.25" bestFit="1" customWidth="1"/>
    <col min="9" max="9" width="9" bestFit="1" customWidth="1"/>
    <col min="10" max="361" width="10.625" bestFit="1" customWidth="1"/>
    <col min="362" max="362" width="10.5" bestFit="1" customWidth="1"/>
    <col min="363" max="727" width="10.625" bestFit="1" customWidth="1"/>
    <col min="728" max="728" width="10.5" bestFit="1" customWidth="1"/>
    <col min="729" max="729" width="21.75" bestFit="1" customWidth="1"/>
    <col min="730" max="1087" width="10.625" bestFit="1" customWidth="1"/>
    <col min="1088" max="1088" width="9.75" bestFit="1" customWidth="1"/>
    <col min="1089" max="1453" width="10.625" bestFit="1" customWidth="1"/>
    <col min="1454" max="1454" width="10.5" bestFit="1" customWidth="1"/>
    <col min="1455" max="1455" width="22.375" bestFit="1" customWidth="1"/>
    <col min="1456" max="1456" width="26.75" bestFit="1" customWidth="1"/>
  </cols>
  <sheetData>
    <row r="1" spans="1:7" x14ac:dyDescent="0.25">
      <c r="A1" s="2" t="s">
        <v>131</v>
      </c>
      <c r="B1" s="2" t="s">
        <v>9</v>
      </c>
      <c r="C1" s="2"/>
      <c r="D1" s="2" t="s">
        <v>132</v>
      </c>
      <c r="E1" s="2"/>
      <c r="F1" s="2" t="s">
        <v>133</v>
      </c>
      <c r="G1" s="2" t="s">
        <v>134</v>
      </c>
    </row>
    <row r="6" spans="1:7" x14ac:dyDescent="0.25">
      <c r="A6" t="s">
        <v>135</v>
      </c>
    </row>
    <row r="7" spans="1:7" x14ac:dyDescent="0.25">
      <c r="A7" t="s">
        <v>136</v>
      </c>
    </row>
    <row r="8" spans="1:7" x14ac:dyDescent="0.25">
      <c r="A8" t="s">
        <v>137</v>
      </c>
    </row>
    <row r="16" spans="1:7" x14ac:dyDescent="0.25">
      <c r="B16" t="s">
        <v>138</v>
      </c>
      <c r="D16" t="s">
        <v>140</v>
      </c>
      <c r="F16" t="s">
        <v>140</v>
      </c>
      <c r="G16" t="s">
        <v>139</v>
      </c>
    </row>
    <row r="17" spans="2:8" x14ac:dyDescent="0.25">
      <c r="B17" s="10">
        <v>12016664.999999965</v>
      </c>
      <c r="D17" s="10">
        <v>4722496.7700000061</v>
      </c>
      <c r="F17" s="6">
        <v>4722496.7700000061</v>
      </c>
      <c r="G17" s="7">
        <v>0.422991293532333</v>
      </c>
    </row>
    <row r="22" spans="2:8" x14ac:dyDescent="0.25">
      <c r="F22" t="s">
        <v>150</v>
      </c>
    </row>
    <row r="23" spans="2:8" x14ac:dyDescent="0.25">
      <c r="F23" s="10">
        <v>489.47935012437875</v>
      </c>
    </row>
    <row r="26" spans="2:8" x14ac:dyDescent="0.25">
      <c r="G26" t="s">
        <v>152</v>
      </c>
    </row>
    <row r="27" spans="2:8" x14ac:dyDescent="0.25">
      <c r="G27" s="14">
        <v>24788610</v>
      </c>
    </row>
    <row r="32" spans="2:8" x14ac:dyDescent="0.25">
      <c r="G32" s="11" t="s">
        <v>138</v>
      </c>
      <c r="H32" s="11" t="s">
        <v>151</v>
      </c>
    </row>
    <row r="33" spans="2:12" x14ac:dyDescent="0.25">
      <c r="G33" s="11" t="s">
        <v>141</v>
      </c>
      <c r="H33" t="s">
        <v>144</v>
      </c>
      <c r="I33" t="s">
        <v>145</v>
      </c>
    </row>
    <row r="34" spans="2:12" x14ac:dyDescent="0.25">
      <c r="G34" s="12" t="s">
        <v>128</v>
      </c>
      <c r="H34" s="6">
        <v>1170361.5999999996</v>
      </c>
      <c r="I34" s="6">
        <v>2070594.1999999993</v>
      </c>
      <c r="J34" s="12" t="str">
        <f>G34</f>
        <v>West Soda</v>
      </c>
      <c r="K34" s="12">
        <f t="shared" ref="K34:L39" si="0">H34</f>
        <v>1170361.5999999996</v>
      </c>
      <c r="L34" s="12">
        <f t="shared" si="0"/>
        <v>2070594.1999999993</v>
      </c>
    </row>
    <row r="35" spans="2:12" x14ac:dyDescent="0.25">
      <c r="G35" s="12" t="s">
        <v>126</v>
      </c>
      <c r="H35" s="6">
        <v>339912.5</v>
      </c>
      <c r="I35" s="6">
        <v>580211.00000000023</v>
      </c>
      <c r="J35" s="12" t="str">
        <f t="shared" ref="J35:J39" si="1">G35</f>
        <v>Walmart</v>
      </c>
      <c r="K35" s="12">
        <f t="shared" si="0"/>
        <v>339912.5</v>
      </c>
      <c r="L35" s="12">
        <f t="shared" si="0"/>
        <v>580211.00000000023</v>
      </c>
    </row>
    <row r="36" spans="2:12" x14ac:dyDescent="0.25">
      <c r="G36" s="12" t="s">
        <v>129</v>
      </c>
      <c r="H36" s="6">
        <v>9250.3000000000011</v>
      </c>
      <c r="I36" s="6">
        <v>1341994.9999999998</v>
      </c>
      <c r="J36" s="12" t="str">
        <f t="shared" si="1"/>
        <v>Target</v>
      </c>
      <c r="K36" s="12">
        <f t="shared" si="0"/>
        <v>9250.3000000000011</v>
      </c>
      <c r="L36" s="12">
        <f t="shared" si="0"/>
        <v>1341994.9999999998</v>
      </c>
    </row>
    <row r="37" spans="2:12" x14ac:dyDescent="0.25">
      <c r="G37" s="12" t="s">
        <v>127</v>
      </c>
      <c r="H37" s="6">
        <v>161210.1</v>
      </c>
      <c r="I37" s="6">
        <v>2262827.0999999978</v>
      </c>
      <c r="J37" s="12" t="str">
        <f t="shared" si="1"/>
        <v>FizzyCo</v>
      </c>
      <c r="K37" s="12">
        <f t="shared" si="0"/>
        <v>161210.1</v>
      </c>
      <c r="L37" s="12">
        <f t="shared" si="0"/>
        <v>2262827.0999999978</v>
      </c>
    </row>
    <row r="38" spans="2:12" x14ac:dyDescent="0.25">
      <c r="G38" s="12" t="s">
        <v>20</v>
      </c>
      <c r="H38" s="6">
        <v>466787.99999999994</v>
      </c>
      <c r="I38" s="6">
        <v>2327606.5000000019</v>
      </c>
      <c r="J38" s="12" t="str">
        <f t="shared" si="1"/>
        <v>BevCo</v>
      </c>
      <c r="K38" s="12">
        <f t="shared" si="0"/>
        <v>466787.99999999994</v>
      </c>
      <c r="L38" s="12">
        <f t="shared" si="0"/>
        <v>2327606.5000000019</v>
      </c>
    </row>
    <row r="39" spans="2:12" x14ac:dyDescent="0.25">
      <c r="G39" s="12" t="s">
        <v>130</v>
      </c>
      <c r="H39" s="6">
        <v>276210</v>
      </c>
      <c r="I39" s="6">
        <v>1009698.7</v>
      </c>
      <c r="J39" s="12" t="str">
        <f t="shared" si="1"/>
        <v>Amazon</v>
      </c>
      <c r="K39" s="12">
        <f t="shared" si="0"/>
        <v>276210</v>
      </c>
      <c r="L39" s="12">
        <f t="shared" si="0"/>
        <v>1009698.7</v>
      </c>
    </row>
    <row r="45" spans="2:12" x14ac:dyDescent="0.25">
      <c r="G45" s="11" t="s">
        <v>138</v>
      </c>
      <c r="H45" s="11" t="s">
        <v>151</v>
      </c>
    </row>
    <row r="46" spans="2:12" x14ac:dyDescent="0.25">
      <c r="G46" s="11" t="s">
        <v>141</v>
      </c>
      <c r="H46" t="s">
        <v>144</v>
      </c>
      <c r="I46" t="s">
        <v>145</v>
      </c>
    </row>
    <row r="47" spans="2:12" x14ac:dyDescent="0.25">
      <c r="G47" s="12" t="s">
        <v>14</v>
      </c>
      <c r="H47" s="6">
        <v>30454.600000000002</v>
      </c>
      <c r="I47" s="6">
        <v>440281.4</v>
      </c>
      <c r="J47" t="str">
        <f>G47</f>
        <v>Coca-Cola</v>
      </c>
      <c r="K47">
        <f t="shared" ref="K47:L47" si="2">H47</f>
        <v>30454.600000000002</v>
      </c>
      <c r="L47">
        <f t="shared" si="2"/>
        <v>440281.4</v>
      </c>
    </row>
    <row r="48" spans="2:12" x14ac:dyDescent="0.25">
      <c r="B48" s="11" t="s">
        <v>141</v>
      </c>
      <c r="C48" t="s">
        <v>143</v>
      </c>
      <c r="D48" t="s">
        <v>150</v>
      </c>
      <c r="G48" s="12" t="s">
        <v>19</v>
      </c>
      <c r="H48" s="6">
        <v>18117.499999999993</v>
      </c>
      <c r="I48" s="6">
        <v>327183.29999999993</v>
      </c>
      <c r="J48" t="str">
        <f t="shared" ref="J48:J52" si="3">G48</f>
        <v>Dasani Water</v>
      </c>
      <c r="K48">
        <f t="shared" ref="K48:K52" si="4">H48</f>
        <v>18117.499999999993</v>
      </c>
      <c r="L48">
        <f t="shared" ref="L48:L52" si="5">I48</f>
        <v>327183.29999999993</v>
      </c>
    </row>
    <row r="49" spans="2:12" x14ac:dyDescent="0.25">
      <c r="B49" s="12" t="s">
        <v>144</v>
      </c>
      <c r="C49" s="6">
        <v>2423732.4999999986</v>
      </c>
      <c r="D49" s="6">
        <v>692.4351059907832</v>
      </c>
      <c r="G49" s="12" t="s">
        <v>15</v>
      </c>
      <c r="H49" s="6">
        <v>14351.200000000003</v>
      </c>
      <c r="I49" s="6">
        <v>247577.7</v>
      </c>
      <c r="J49" t="str">
        <f t="shared" si="3"/>
        <v>Diet Coke</v>
      </c>
      <c r="K49">
        <f t="shared" si="4"/>
        <v>14351.200000000003</v>
      </c>
      <c r="L49">
        <f t="shared" si="5"/>
        <v>247577.7</v>
      </c>
    </row>
    <row r="50" spans="2:12" x14ac:dyDescent="0.25">
      <c r="B50" s="13" t="s">
        <v>146</v>
      </c>
      <c r="C50" s="6">
        <v>692776.09999999986</v>
      </c>
      <c r="D50" s="6">
        <v>648.07369873417747</v>
      </c>
      <c r="G50" s="12" t="s">
        <v>16</v>
      </c>
      <c r="H50" s="6">
        <v>10885.199999999999</v>
      </c>
      <c r="I50" s="6">
        <v>188859.60000000003</v>
      </c>
      <c r="J50" t="str">
        <f t="shared" si="3"/>
        <v>Sprite</v>
      </c>
      <c r="K50">
        <f t="shared" si="4"/>
        <v>10885.199999999999</v>
      </c>
      <c r="L50">
        <f t="shared" si="5"/>
        <v>188859.60000000003</v>
      </c>
    </row>
    <row r="51" spans="2:12" x14ac:dyDescent="0.25">
      <c r="B51" s="13" t="s">
        <v>147</v>
      </c>
      <c r="C51" s="6">
        <v>644203.89999999932</v>
      </c>
      <c r="D51" s="6">
        <v>836.1838421052629</v>
      </c>
      <c r="G51" s="12" t="s">
        <v>18</v>
      </c>
      <c r="H51" s="6">
        <v>9122.9</v>
      </c>
      <c r="I51" s="6">
        <v>213255.7</v>
      </c>
      <c r="J51" t="str">
        <f t="shared" si="3"/>
        <v>Powerade</v>
      </c>
      <c r="K51">
        <f t="shared" si="4"/>
        <v>9122.9</v>
      </c>
      <c r="L51">
        <f t="shared" si="5"/>
        <v>213255.7</v>
      </c>
    </row>
    <row r="52" spans="2:12" x14ac:dyDescent="0.25">
      <c r="B52" s="13" t="s">
        <v>148</v>
      </c>
      <c r="C52" s="6">
        <v>719170.39999999979</v>
      </c>
      <c r="D52" s="6">
        <v>796.47038053097333</v>
      </c>
      <c r="G52" s="12" t="s">
        <v>17</v>
      </c>
      <c r="H52" s="6">
        <v>7460.4</v>
      </c>
      <c r="I52" s="6">
        <v>159893.90000000002</v>
      </c>
      <c r="J52" t="str">
        <f t="shared" si="3"/>
        <v>Fanta</v>
      </c>
      <c r="K52">
        <f t="shared" si="4"/>
        <v>7460.4</v>
      </c>
      <c r="L52">
        <f t="shared" si="5"/>
        <v>159893.90000000002</v>
      </c>
    </row>
    <row r="53" spans="2:12" x14ac:dyDescent="0.25">
      <c r="B53" s="13" t="s">
        <v>149</v>
      </c>
      <c r="C53" s="6">
        <v>367582.10000000015</v>
      </c>
      <c r="D53" s="6">
        <v>484.96658303886926</v>
      </c>
    </row>
    <row r="54" spans="2:12" x14ac:dyDescent="0.25">
      <c r="B54" s="12" t="s">
        <v>145</v>
      </c>
      <c r="C54" s="6">
        <v>9592932.4999999963</v>
      </c>
      <c r="D54" s="6">
        <v>457.81766858375329</v>
      </c>
    </row>
    <row r="55" spans="2:12" x14ac:dyDescent="0.25">
      <c r="B55" s="13" t="s">
        <v>146</v>
      </c>
      <c r="C55" s="6">
        <v>1877584.300000001</v>
      </c>
      <c r="D55" s="6">
        <v>348.13157289628185</v>
      </c>
    </row>
    <row r="56" spans="2:12" x14ac:dyDescent="0.25">
      <c r="B56" s="13" t="s">
        <v>147</v>
      </c>
      <c r="C56" s="6">
        <v>2379424.800000004</v>
      </c>
      <c r="D56" s="6">
        <v>452.75746365795629</v>
      </c>
    </row>
    <row r="57" spans="2:12" x14ac:dyDescent="0.25">
      <c r="B57" s="13" t="s">
        <v>148</v>
      </c>
      <c r="C57" s="6">
        <v>2805752.5000000005</v>
      </c>
      <c r="D57" s="6">
        <v>539.54721969697061</v>
      </c>
    </row>
    <row r="58" spans="2:12" x14ac:dyDescent="0.25">
      <c r="B58" s="13" t="s">
        <v>149</v>
      </c>
      <c r="C58" s="6">
        <v>2530170.899999999</v>
      </c>
      <c r="D58" s="6">
        <v>487.66769208633156</v>
      </c>
    </row>
    <row r="59" spans="2:12" x14ac:dyDescent="0.25">
      <c r="B59" s="12" t="s">
        <v>142</v>
      </c>
      <c r="C59" s="6">
        <v>12016664.999999991</v>
      </c>
      <c r="D59" s="6">
        <v>489.47935012437625</v>
      </c>
    </row>
    <row r="62" spans="2:12" x14ac:dyDescent="0.25">
      <c r="B62" s="19"/>
      <c r="C62" s="20"/>
      <c r="D62" s="20"/>
    </row>
    <row r="63" spans="2:12" x14ac:dyDescent="0.25">
      <c r="B63" s="13" t="s">
        <v>146</v>
      </c>
      <c r="C63" s="6">
        <v>692776.09999999986</v>
      </c>
      <c r="D63" s="6">
        <v>648.07369873417747</v>
      </c>
    </row>
    <row r="64" spans="2:12" x14ac:dyDescent="0.25">
      <c r="B64" s="13" t="s">
        <v>147</v>
      </c>
      <c r="C64" s="6">
        <v>644203.89999999932</v>
      </c>
      <c r="D64" s="6">
        <v>836.1838421052629</v>
      </c>
    </row>
    <row r="65" spans="2:4" x14ac:dyDescent="0.25">
      <c r="B65" s="13" t="s">
        <v>148</v>
      </c>
      <c r="C65" s="6">
        <v>719170.39999999979</v>
      </c>
      <c r="D65" s="6">
        <v>796.47038053097333</v>
      </c>
    </row>
    <row r="66" spans="2:4" x14ac:dyDescent="0.25">
      <c r="B66" s="13" t="s">
        <v>149</v>
      </c>
      <c r="C66" s="6">
        <v>367582.10000000015</v>
      </c>
      <c r="D66" s="6">
        <v>484.96658303886926</v>
      </c>
    </row>
    <row r="67" spans="2:4" x14ac:dyDescent="0.25">
      <c r="B67" s="13" t="s">
        <v>146</v>
      </c>
      <c r="C67" s="6">
        <v>1877584.300000001</v>
      </c>
      <c r="D67" s="6">
        <v>348.13157289628185</v>
      </c>
    </row>
    <row r="68" spans="2:4" x14ac:dyDescent="0.25">
      <c r="B68" s="13" t="s">
        <v>147</v>
      </c>
      <c r="C68" s="6">
        <v>2379424.800000004</v>
      </c>
      <c r="D68" s="6">
        <v>452.75746365795629</v>
      </c>
    </row>
    <row r="69" spans="2:4" x14ac:dyDescent="0.25">
      <c r="B69" s="13" t="s">
        <v>148</v>
      </c>
      <c r="C69" s="6">
        <v>2805752.5000000005</v>
      </c>
      <c r="D69" s="6">
        <v>539.54721969697061</v>
      </c>
    </row>
    <row r="70" spans="2:4" x14ac:dyDescent="0.25">
      <c r="B70" s="13" t="s">
        <v>149</v>
      </c>
      <c r="C70" s="6">
        <v>2530170.899999999</v>
      </c>
      <c r="D70" s="6">
        <v>487.66769208633156</v>
      </c>
    </row>
    <row r="71" spans="2:4" x14ac:dyDescent="0.25">
      <c r="B71" s="13"/>
      <c r="C71" s="6"/>
      <c r="D71" s="6"/>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2"/>
  <sheetViews>
    <sheetView tabSelected="1" zoomScaleNormal="100" workbookViewId="0">
      <selection activeCell="A9" sqref="A9"/>
    </sheetView>
  </sheetViews>
  <sheetFormatPr defaultColWidth="11.25" defaultRowHeight="15.75" x14ac:dyDescent="0.25"/>
  <cols>
    <col min="1" max="1" width="23.25" style="18" customWidth="1"/>
    <col min="2" max="2" width="14.875" customWidth="1"/>
    <col min="3" max="3" width="12.5" bestFit="1" customWidth="1"/>
    <col min="4" max="4" width="12.5" customWidth="1"/>
    <col min="5" max="5" width="28.375" customWidth="1"/>
    <col min="8" max="8" width="14.625" customWidth="1"/>
    <col min="9" max="9" width="14.375" customWidth="1"/>
    <col min="10" max="10" width="16.25" customWidth="1"/>
    <col min="11" max="11" width="31.5" customWidth="1"/>
  </cols>
  <sheetData>
    <row r="1" spans="1:22" x14ac:dyDescent="0.25">
      <c r="A1" s="17"/>
      <c r="B1" s="18"/>
      <c r="C1" s="18"/>
      <c r="D1" s="18"/>
      <c r="E1" s="18"/>
      <c r="F1" s="18"/>
      <c r="G1" s="18"/>
      <c r="H1" s="18"/>
      <c r="I1" s="18"/>
      <c r="J1" s="18"/>
      <c r="K1" s="18"/>
      <c r="L1" s="18"/>
      <c r="M1" s="18"/>
      <c r="N1" s="18"/>
      <c r="O1" s="18"/>
      <c r="P1" s="18"/>
      <c r="Q1" s="18"/>
      <c r="R1" s="18"/>
      <c r="S1" s="18"/>
      <c r="T1" s="18"/>
      <c r="U1" s="18"/>
      <c r="V1" s="18"/>
    </row>
    <row r="2" spans="1:22" x14ac:dyDescent="0.25">
      <c r="A2" s="17"/>
      <c r="B2" s="18"/>
      <c r="C2" s="18"/>
      <c r="D2" s="18"/>
      <c r="E2" s="18"/>
      <c r="F2" s="18"/>
      <c r="G2" s="18"/>
      <c r="H2" s="18"/>
      <c r="I2" s="18"/>
      <c r="J2" s="18"/>
      <c r="K2" s="18"/>
      <c r="L2" s="18"/>
      <c r="M2" s="18"/>
      <c r="N2" s="18"/>
      <c r="O2" s="18"/>
      <c r="P2" s="18"/>
      <c r="Q2" s="18"/>
      <c r="R2" s="18"/>
      <c r="S2" s="18"/>
      <c r="T2" s="18"/>
      <c r="U2" s="18"/>
      <c r="V2" s="18"/>
    </row>
    <row r="3" spans="1:22" x14ac:dyDescent="0.25">
      <c r="A3" s="17"/>
      <c r="B3" s="18"/>
      <c r="C3" s="18"/>
      <c r="D3" s="18"/>
      <c r="E3" s="18"/>
      <c r="F3" s="18"/>
      <c r="G3" s="18"/>
      <c r="H3" s="18"/>
      <c r="I3" s="18"/>
      <c r="J3" s="18"/>
      <c r="K3" s="18"/>
      <c r="L3" s="18"/>
      <c r="M3" s="18"/>
      <c r="N3" s="18"/>
      <c r="O3" s="18"/>
      <c r="P3" s="18"/>
      <c r="Q3" s="18"/>
      <c r="R3" s="18"/>
      <c r="S3" s="18"/>
      <c r="T3" s="18"/>
      <c r="U3" s="18"/>
      <c r="V3" s="18"/>
    </row>
    <row r="4" spans="1:22" x14ac:dyDescent="0.25">
      <c r="A4" s="17"/>
      <c r="B4" s="18"/>
      <c r="C4" s="18"/>
      <c r="D4" s="18"/>
      <c r="E4" s="18"/>
      <c r="F4" s="18"/>
      <c r="G4" s="18"/>
      <c r="H4" s="18"/>
      <c r="I4" s="18"/>
      <c r="J4" s="18"/>
      <c r="K4" s="18"/>
      <c r="L4" s="18"/>
      <c r="M4" s="18"/>
      <c r="N4" s="18"/>
      <c r="O4" s="18"/>
      <c r="P4" s="18"/>
      <c r="Q4" s="18"/>
      <c r="R4" s="18"/>
      <c r="S4" s="18"/>
      <c r="T4" s="18"/>
      <c r="U4" s="18"/>
      <c r="V4" s="18"/>
    </row>
    <row r="5" spans="1:22" x14ac:dyDescent="0.25">
      <c r="A5" s="17"/>
      <c r="B5" s="18"/>
      <c r="C5" s="18"/>
      <c r="D5" s="18"/>
      <c r="E5" s="18"/>
      <c r="F5" s="18"/>
      <c r="G5" s="18"/>
      <c r="H5" s="18"/>
      <c r="I5" s="18"/>
      <c r="J5" s="18"/>
      <c r="K5" s="18"/>
      <c r="L5" s="18"/>
      <c r="M5" s="18"/>
      <c r="N5" s="18"/>
      <c r="O5" s="18"/>
      <c r="P5" s="18"/>
      <c r="Q5" s="18"/>
      <c r="R5" s="18"/>
      <c r="S5" s="18"/>
      <c r="T5" s="18"/>
      <c r="U5" s="18"/>
      <c r="V5" s="18"/>
    </row>
    <row r="6" spans="1:22" x14ac:dyDescent="0.25">
      <c r="A6" s="17"/>
      <c r="B6" s="18"/>
      <c r="C6" s="18"/>
      <c r="D6" s="18"/>
      <c r="E6" s="18"/>
      <c r="F6" s="18"/>
      <c r="G6" s="18"/>
      <c r="H6" s="18"/>
      <c r="I6" s="18"/>
      <c r="J6" s="18"/>
      <c r="K6" s="18"/>
      <c r="L6" s="18"/>
      <c r="M6" s="18"/>
      <c r="N6" s="18"/>
      <c r="O6" s="18"/>
      <c r="P6" s="18"/>
      <c r="Q6" s="18"/>
      <c r="R6" s="18"/>
      <c r="S6" s="18"/>
      <c r="T6" s="18"/>
      <c r="U6" s="18"/>
      <c r="V6" s="18"/>
    </row>
    <row r="15" spans="1:22" ht="26.25" customHeight="1" x14ac:dyDescent="0.25">
      <c r="B15" s="18"/>
      <c r="C15" s="18"/>
      <c r="D15" s="18"/>
      <c r="E15" s="18"/>
      <c r="F15" s="18"/>
      <c r="H15" s="18"/>
      <c r="I15" s="18"/>
      <c r="J15" s="18"/>
      <c r="K15" s="18"/>
      <c r="L15" s="18"/>
      <c r="M15" s="18"/>
      <c r="N15" s="18"/>
      <c r="O15" s="21"/>
    </row>
    <row r="16" spans="1:22" x14ac:dyDescent="0.25">
      <c r="B16" s="15" t="s">
        <v>153</v>
      </c>
      <c r="C16" s="15" t="s">
        <v>154</v>
      </c>
      <c r="D16" s="15" t="s">
        <v>154</v>
      </c>
      <c r="E16" s="15" t="s">
        <v>155</v>
      </c>
      <c r="H16" s="15" t="s">
        <v>156</v>
      </c>
      <c r="I16" s="15" t="s">
        <v>154</v>
      </c>
      <c r="J16" s="15" t="s">
        <v>157</v>
      </c>
      <c r="K16" s="15" t="s">
        <v>155</v>
      </c>
    </row>
    <row r="17" spans="2:11" x14ac:dyDescent="0.25">
      <c r="B17" t="str">
        <f>Analyze!J34</f>
        <v>West Soda</v>
      </c>
      <c r="C17" s="16">
        <f>Analyze!K34</f>
        <v>1170361.5999999996</v>
      </c>
      <c r="D17" s="16">
        <f>Analyze!L34</f>
        <v>2070594.1999999993</v>
      </c>
      <c r="E17" s="16">
        <f>D17-C17</f>
        <v>900232.59999999963</v>
      </c>
      <c r="H17" t="str">
        <f>Analyze!J47</f>
        <v>Coca-Cola</v>
      </c>
      <c r="I17" s="16">
        <f>Analyze!K47</f>
        <v>30454.600000000002</v>
      </c>
      <c r="J17" s="16">
        <f>Analyze!L47</f>
        <v>440281.4</v>
      </c>
      <c r="K17" s="16">
        <f>J17-I17</f>
        <v>409826.80000000005</v>
      </c>
    </row>
    <row r="18" spans="2:11" x14ac:dyDescent="0.25">
      <c r="B18" t="str">
        <f>Analyze!J35</f>
        <v>Walmart</v>
      </c>
      <c r="C18" s="16">
        <f>Analyze!K35</f>
        <v>339912.5</v>
      </c>
      <c r="D18" s="16">
        <f>Analyze!L35</f>
        <v>580211.00000000023</v>
      </c>
      <c r="E18" s="16">
        <f t="shared" ref="E18:E22" si="0">D18-C18</f>
        <v>240298.50000000023</v>
      </c>
      <c r="H18" t="str">
        <f>Analyze!J48</f>
        <v>Dasani Water</v>
      </c>
      <c r="I18" s="16">
        <f>Analyze!K48</f>
        <v>18117.499999999993</v>
      </c>
      <c r="J18" s="16">
        <f>Analyze!L48</f>
        <v>327183.29999999993</v>
      </c>
      <c r="K18" s="16">
        <f t="shared" ref="K18:K22" si="1">J18-I18</f>
        <v>309065.79999999993</v>
      </c>
    </row>
    <row r="19" spans="2:11" x14ac:dyDescent="0.25">
      <c r="B19" t="str">
        <f>Analyze!J36</f>
        <v>Target</v>
      </c>
      <c r="C19" s="16">
        <f>Analyze!K36</f>
        <v>9250.3000000000011</v>
      </c>
      <c r="D19" s="16">
        <f>Analyze!L36</f>
        <v>1341994.9999999998</v>
      </c>
      <c r="E19" s="16">
        <f t="shared" si="0"/>
        <v>1332744.6999999997</v>
      </c>
      <c r="H19" t="str">
        <f>Analyze!J49</f>
        <v>Diet Coke</v>
      </c>
      <c r="I19" s="16">
        <f>Analyze!K49</f>
        <v>14351.200000000003</v>
      </c>
      <c r="J19" s="16">
        <f>Analyze!L49</f>
        <v>247577.7</v>
      </c>
      <c r="K19" s="16">
        <f t="shared" si="1"/>
        <v>233226.5</v>
      </c>
    </row>
    <row r="20" spans="2:11" x14ac:dyDescent="0.25">
      <c r="B20" t="str">
        <f>Analyze!J37</f>
        <v>FizzyCo</v>
      </c>
      <c r="C20" s="16">
        <f>Analyze!K37</f>
        <v>161210.1</v>
      </c>
      <c r="D20" s="16">
        <f>Analyze!L37</f>
        <v>2262827.0999999978</v>
      </c>
      <c r="E20" s="16">
        <f t="shared" si="0"/>
        <v>2101616.9999999977</v>
      </c>
      <c r="H20" t="str">
        <f>Analyze!J50</f>
        <v>Sprite</v>
      </c>
      <c r="I20" s="16">
        <f>Analyze!K50</f>
        <v>10885.199999999999</v>
      </c>
      <c r="J20" s="16">
        <f>Analyze!L50</f>
        <v>188859.60000000003</v>
      </c>
      <c r="K20" s="16">
        <f t="shared" si="1"/>
        <v>177974.40000000002</v>
      </c>
    </row>
    <row r="21" spans="2:11" x14ac:dyDescent="0.25">
      <c r="B21" t="str">
        <f>Analyze!J38</f>
        <v>BevCo</v>
      </c>
      <c r="C21" s="16">
        <f>Analyze!K38</f>
        <v>466787.99999999994</v>
      </c>
      <c r="D21" s="16">
        <f>Analyze!L38</f>
        <v>2327606.5000000019</v>
      </c>
      <c r="E21" s="16">
        <f t="shared" si="0"/>
        <v>1860818.5000000019</v>
      </c>
      <c r="H21" t="str">
        <f>Analyze!J51</f>
        <v>Powerade</v>
      </c>
      <c r="I21" s="16">
        <f>Analyze!K51</f>
        <v>9122.9</v>
      </c>
      <c r="J21" s="16">
        <f>Analyze!L51</f>
        <v>213255.7</v>
      </c>
      <c r="K21" s="16">
        <f t="shared" si="1"/>
        <v>204132.80000000002</v>
      </c>
    </row>
    <row r="22" spans="2:11" x14ac:dyDescent="0.25">
      <c r="B22" t="str">
        <f>Analyze!J39</f>
        <v>Amazon</v>
      </c>
      <c r="C22" s="16">
        <f>Analyze!K39</f>
        <v>276210</v>
      </c>
      <c r="D22" s="16">
        <f>Analyze!L39</f>
        <v>1009698.7</v>
      </c>
      <c r="E22" s="16">
        <f t="shared" si="0"/>
        <v>733488.7</v>
      </c>
      <c r="H22" t="str">
        <f>Analyze!J52</f>
        <v>Fanta</v>
      </c>
      <c r="I22" s="16">
        <f>Analyze!K52</f>
        <v>7460.4</v>
      </c>
      <c r="J22" s="16">
        <f>Analyze!L52</f>
        <v>159893.90000000002</v>
      </c>
      <c r="K22" s="16">
        <f t="shared" si="1"/>
        <v>152433.50000000003</v>
      </c>
    </row>
  </sheetData>
  <conditionalFormatting sqref="E17:E22">
    <cfRule type="dataBar" priority="2">
      <dataBar>
        <cfvo type="min"/>
        <cfvo type="max"/>
        <color rgb="FFFFB628"/>
      </dataBar>
      <extLst>
        <ext xmlns:x14="http://schemas.microsoft.com/office/spreadsheetml/2009/9/main" uri="{B025F937-C7B1-47D3-B67F-A62EFF666E3E}">
          <x14:id>{BBE5D12A-D7F4-4FBA-A321-6A505C4DBE60}</x14:id>
        </ext>
      </extLst>
    </cfRule>
  </conditionalFormatting>
  <conditionalFormatting sqref="K17:K22">
    <cfRule type="dataBar" priority="1">
      <dataBar>
        <cfvo type="min"/>
        <cfvo type="max"/>
        <color rgb="FFFFB628"/>
      </dataBar>
      <extLst>
        <ext xmlns:x14="http://schemas.microsoft.com/office/spreadsheetml/2009/9/main" uri="{B025F937-C7B1-47D3-B67F-A62EFF666E3E}">
          <x14:id>{C1B6822B-D437-42BA-A53E-4B1DAD0E89A9}</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BBE5D12A-D7F4-4FBA-A321-6A505C4DBE60}">
            <x14:dataBar minLength="0" maxLength="100" border="1" negativeBarBorderColorSameAsPositive="0">
              <x14:cfvo type="autoMin"/>
              <x14:cfvo type="autoMax"/>
              <x14:borderColor rgb="FFFFB628"/>
              <x14:negativeFillColor rgb="FFFF0000"/>
              <x14:negativeBorderColor rgb="FFFF0000"/>
              <x14:axisColor rgb="FF000000"/>
            </x14:dataBar>
          </x14:cfRule>
          <xm:sqref>E17:E22</xm:sqref>
        </x14:conditionalFormatting>
        <x14:conditionalFormatting xmlns:xm="http://schemas.microsoft.com/office/excel/2006/main">
          <x14:cfRule type="dataBar" id="{C1B6822B-D437-42BA-A53E-4B1DAD0E89A9}">
            <x14:dataBar minLength="0" maxLength="100" border="1" negativeBarBorderColorSameAsPositive="0">
              <x14:cfvo type="autoMin"/>
              <x14:cfvo type="autoMax"/>
              <x14:borderColor rgb="FFFFB628"/>
              <x14:negativeFillColor rgb="FFFF0000"/>
              <x14:negativeBorderColor rgb="FFFF0000"/>
              <x14:axisColor rgb="FF000000"/>
            </x14:dataBar>
          </x14:cfRule>
          <xm:sqref>K17:K22</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6</cp:lastModifiedBy>
  <dcterms:created xsi:type="dcterms:W3CDTF">2023-12-18T11:08:00Z</dcterms:created>
  <dcterms:modified xsi:type="dcterms:W3CDTF">2026-02-27T02:46:17Z</dcterms:modified>
</cp:coreProperties>
</file>