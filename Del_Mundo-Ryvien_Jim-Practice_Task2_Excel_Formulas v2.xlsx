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ryvien jim\Downloads\"/>
    </mc:Choice>
  </mc:AlternateContent>
  <xr:revisionPtr revIDLastSave="0" documentId="8_{D9F514DC-EE4D-4F61-8C0B-8BA2247E18C0}" xr6:coauthVersionLast="47" xr6:coauthVersionMax="47" xr10:uidLastSave="{00000000-0000-0000-0000-000000000000}"/>
  <bookViews>
    <workbookView xWindow="-108" yWindow="-108" windowWidth="23256" windowHeight="12456" tabRatio="967" firstSheet="26" activeTab="28"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7" i="67" l="1"/>
  <c r="B38" i="67"/>
  <c r="B39" i="67"/>
  <c r="B40" i="67"/>
  <c r="B41" i="67"/>
  <c r="B42" i="67"/>
  <c r="C42" i="67" s="1"/>
  <c r="B43" i="67"/>
  <c r="D89" i="71"/>
  <c r="D52" i="77"/>
  <c r="E52" i="77"/>
  <c r="F52" i="77"/>
  <c r="G52" i="77"/>
  <c r="H52" i="77"/>
  <c r="I52" i="77"/>
  <c r="C52" i="77"/>
  <c r="H100" i="76"/>
  <c r="F100" i="76"/>
  <c r="D100" i="76"/>
  <c r="C100" i="76"/>
  <c r="G100" i="76"/>
  <c r="E100" i="76"/>
  <c r="B100" i="76"/>
  <c r="C32" i="92"/>
  <c r="C33" i="92"/>
  <c r="C34" i="92"/>
  <c r="C35" i="92"/>
  <c r="C36" i="92"/>
  <c r="C37" i="92"/>
  <c r="C38" i="92"/>
  <c r="C39" i="92"/>
  <c r="C40" i="92"/>
  <c r="C31" i="92"/>
  <c r="E25" i="90"/>
  <c r="E26" i="90"/>
  <c r="E27" i="90"/>
  <c r="E24" i="90"/>
  <c r="F29" i="89"/>
  <c r="F28" i="89"/>
  <c r="F27" i="89"/>
  <c r="F26" i="89"/>
  <c r="D35" i="88"/>
  <c r="D36" i="88"/>
  <c r="D37" i="88"/>
  <c r="D34" i="88"/>
  <c r="D27" i="88"/>
  <c r="D28" i="88"/>
  <c r="D29" i="88"/>
  <c r="D26" i="88"/>
  <c r="E27" i="87"/>
  <c r="E28" i="87"/>
  <c r="E29" i="87"/>
  <c r="E26" i="87"/>
  <c r="E27" i="86"/>
  <c r="E28" i="86"/>
  <c r="E29" i="86"/>
  <c r="E26" i="86"/>
  <c r="D24" i="85"/>
  <c r="D25" i="85"/>
  <c r="D26" i="85"/>
  <c r="D23" i="85"/>
  <c r="D24" i="84"/>
  <c r="D25" i="84"/>
  <c r="D26" i="84"/>
  <c r="D23" i="84"/>
  <c r="D24" i="83"/>
  <c r="D25" i="83"/>
  <c r="D26" i="83"/>
  <c r="D23" i="83"/>
  <c r="C27" i="82"/>
  <c r="C28" i="82"/>
  <c r="C29" i="82"/>
  <c r="C26" i="82"/>
  <c r="B24" i="81"/>
  <c r="B25" i="81"/>
  <c r="B26" i="81"/>
  <c r="B23" i="81"/>
  <c r="B24" i="80"/>
  <c r="B25" i="80"/>
  <c r="B26" i="80"/>
  <c r="B23" i="80"/>
  <c r="C27" i="75"/>
  <c r="C28" i="75"/>
  <c r="C29" i="75"/>
  <c r="C26" i="75"/>
  <c r="C70" i="72"/>
  <c r="C69" i="72"/>
  <c r="D55" i="72"/>
  <c r="D71" i="71"/>
  <c r="G80" i="70"/>
  <c r="G79" i="70"/>
  <c r="G78" i="70"/>
  <c r="G77" i="70"/>
  <c r="G69" i="70"/>
  <c r="G68" i="70"/>
  <c r="G67" i="70"/>
  <c r="G66" i="70"/>
  <c r="F56" i="70"/>
  <c r="F58" i="70"/>
  <c r="F57" i="70"/>
  <c r="F55" i="70"/>
  <c r="D81" i="79"/>
  <c r="D82" i="79"/>
  <c r="D83" i="79"/>
  <c r="D84" i="79"/>
  <c r="D85" i="79"/>
  <c r="D80" i="79"/>
  <c r="C80" i="79"/>
  <c r="C81" i="79"/>
  <c r="C82" i="79"/>
  <c r="C83" i="79"/>
  <c r="C84" i="79"/>
  <c r="C85" i="79"/>
  <c r="B81" i="79"/>
  <c r="B82" i="79"/>
  <c r="B83" i="79"/>
  <c r="B84" i="79"/>
  <c r="B85" i="79"/>
  <c r="B80" i="79"/>
  <c r="B97" i="79"/>
  <c r="I100" i="76"/>
  <c r="C97" i="79"/>
  <c r="D97" i="79"/>
  <c r="E97" i="79"/>
  <c r="F97" i="79"/>
  <c r="G97" i="79"/>
  <c r="H97" i="79"/>
  <c r="I97" i="79"/>
  <c r="B42" i="78" a="1"/>
  <c r="B42" i="78"/>
  <c r="C42" i="78"/>
  <c r="D42" i="78"/>
  <c r="B41" i="78" a="1"/>
  <c r="B41" i="78" s="1"/>
  <c r="B52" i="77"/>
  <c r="D84" i="76"/>
  <c r="D85" i="76"/>
  <c r="D86" i="76"/>
  <c r="D87" i="76"/>
  <c r="D88" i="76"/>
  <c r="D83" i="76"/>
  <c r="C84" i="76"/>
  <c r="C85" i="76"/>
  <c r="C86" i="76"/>
  <c r="C87" i="76"/>
  <c r="C88" i="76"/>
  <c r="C83" i="76"/>
  <c r="B84" i="76"/>
  <c r="B85" i="76"/>
  <c r="B86" i="76"/>
  <c r="B87" i="76"/>
  <c r="B88" i="76"/>
  <c r="B83" i="76"/>
  <c r="C23" i="69"/>
  <c r="C24" i="69"/>
  <c r="C22" i="69"/>
  <c r="C23" i="68"/>
  <c r="C24" i="68"/>
  <c r="C22" i="68"/>
  <c r="C38" i="67"/>
  <c r="C39" i="67"/>
  <c r="C40" i="67"/>
  <c r="C41" i="67"/>
  <c r="C43" i="67"/>
  <c r="C37" i="67"/>
  <c r="C29" i="67"/>
  <c r="C30" i="67"/>
  <c r="C28" i="67"/>
  <c r="B30" i="66"/>
  <c r="B31" i="66"/>
  <c r="B32" i="66"/>
  <c r="B33" i="66"/>
  <c r="B34" i="66"/>
  <c r="B35" i="66"/>
  <c r="D23" i="66"/>
  <c r="F23" i="66" s="1"/>
  <c r="D22" i="66"/>
  <c r="F22" i="66" s="1"/>
  <c r="D23" i="65"/>
  <c r="F23" i="65" s="1"/>
  <c r="D22" i="65"/>
  <c r="F22" i="65" s="1"/>
  <c r="B22" i="62"/>
  <c r="B23" i="62"/>
  <c r="B24" i="62"/>
  <c r="B21" i="62"/>
  <c r="D23" i="64"/>
  <c r="F23" i="64" s="1"/>
  <c r="D22" i="64"/>
  <c r="F22" i="64" s="1"/>
  <c r="D22" i="63"/>
  <c r="D21" i="63"/>
  <c r="B24" i="61"/>
  <c r="B25" i="61"/>
  <c r="B26" i="61"/>
  <c r="B23" i="61"/>
  <c r="D41" i="60"/>
  <c r="D40" i="60"/>
  <c r="D39" i="60"/>
  <c r="C39" i="60"/>
  <c r="C40" i="60"/>
  <c r="C41" i="60"/>
  <c r="B39" i="60"/>
  <c r="B40" i="60"/>
  <c r="B41" i="60"/>
  <c r="D38" i="60"/>
  <c r="C38" i="60"/>
  <c r="B38" i="60"/>
  <c r="E38" i="60" s="1"/>
  <c r="D31" i="60"/>
  <c r="D32" i="60"/>
  <c r="D33" i="60"/>
  <c r="D30" i="60"/>
  <c r="E33" i="59"/>
  <c r="E32" i="59"/>
  <c r="E31" i="59"/>
  <c r="E30" i="59"/>
  <c r="E35" i="58"/>
  <c r="E34" i="58"/>
  <c r="E29" i="58"/>
  <c r="E28" i="58"/>
  <c r="E28" i="57"/>
  <c r="E35" i="57"/>
  <c r="E34" i="57"/>
  <c r="E29" i="57"/>
  <c r="C25" i="56"/>
  <c r="C24" i="56"/>
  <c r="A29" i="55"/>
  <c r="C29" i="55" s="1"/>
  <c r="A30" i="55"/>
  <c r="C30" i="55" s="1"/>
  <c r="A28" i="55"/>
  <c r="C28" i="55" s="1"/>
  <c r="A29" i="54"/>
  <c r="C29" i="54" s="1"/>
  <c r="A30" i="54"/>
  <c r="C30" i="54" s="1"/>
  <c r="A28" i="54"/>
  <c r="C28" i="54" s="1"/>
  <c r="C23" i="53"/>
  <c r="C24" i="53"/>
  <c r="C22" i="53"/>
  <c r="E40" i="52"/>
  <c r="E41" i="52"/>
  <c r="E42" i="52"/>
  <c r="E39" i="52"/>
  <c r="F27" i="51"/>
  <c r="F28" i="51"/>
  <c r="F26" i="51"/>
  <c r="F25" i="51"/>
  <c r="F35" i="50" s="1"/>
  <c r="E39" i="60" l="1"/>
  <c r="E40" i="60"/>
  <c r="E41" i="60"/>
  <c r="D41" i="78"/>
  <c r="C41" i="78"/>
  <c r="F39" i="50"/>
  <c r="F40" i="50"/>
  <c r="F41" i="50"/>
  <c r="F38" i="50"/>
  <c r="F36" i="50"/>
  <c r="F37" i="50"/>
  <c r="C23" i="55"/>
  <c r="C22" i="55"/>
  <c r="C23" i="54"/>
  <c r="C22" i="54"/>
  <c r="C35" i="49"/>
  <c r="C36" i="49"/>
  <c r="C37" i="49"/>
  <c r="C38" i="49"/>
  <c r="C34" i="49"/>
  <c r="C30" i="48"/>
  <c r="C31" i="48"/>
  <c r="C32" i="48"/>
  <c r="C29" i="48"/>
  <c r="D28" i="47"/>
  <c r="D29" i="47"/>
  <c r="D30" i="47"/>
  <c r="D27" i="47"/>
  <c r="D40" i="45"/>
  <c r="D41" i="45"/>
  <c r="D42" i="45"/>
  <c r="D39" i="45"/>
  <c r="E39" i="44"/>
  <c r="E40" i="44"/>
  <c r="E41" i="44"/>
  <c r="E38" i="44"/>
  <c r="G37" i="43"/>
  <c r="G38" i="43"/>
  <c r="G39" i="43"/>
  <c r="G36" i="43"/>
  <c r="E37" i="42"/>
  <c r="E38" i="42"/>
  <c r="E39" i="42"/>
  <c r="E36" i="42"/>
  <c r="C35" i="41"/>
  <c r="C36" i="41"/>
  <c r="C37" i="41"/>
  <c r="C34" i="41"/>
  <c r="A18" i="74" l="1"/>
  <c r="A15" i="73"/>
  <c r="D20" i="70"/>
  <c r="D19" i="70"/>
  <c r="D18" i="70"/>
  <c r="A15" i="63"/>
  <c r="A16" i="62"/>
  <c r="A15" i="62"/>
  <c r="B16" i="61"/>
  <c r="B15" i="61"/>
  <c r="C20" i="44"/>
  <c r="C21" i="44"/>
  <c r="C22" i="44"/>
  <c r="C20" i="42"/>
  <c r="C19" i="42"/>
  <c r="C23" i="41"/>
  <c r="C24" i="41"/>
  <c r="C25" i="41"/>
  <c r="C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F54" i="70"/>
  <c r="D34" i="70"/>
  <c r="E28" i="70"/>
  <c r="D28" i="70"/>
  <c r="C28" i="70"/>
  <c r="B28" i="70"/>
  <c r="C17" i="69"/>
  <c r="C16" i="69"/>
  <c r="A15" i="69"/>
  <c r="C15" i="69" s="1"/>
  <c r="C17" i="68"/>
  <c r="C16" i="68"/>
  <c r="A15" i="68"/>
  <c r="C15" i="68" s="1"/>
  <c r="B36" i="67"/>
  <c r="C36" i="67" s="1"/>
  <c r="A23" i="67"/>
  <c r="C23" i="67" s="1"/>
  <c r="A22" i="67"/>
  <c r="C22" i="67" s="1"/>
  <c r="A21" i="67"/>
  <c r="C21" i="67" s="1"/>
  <c r="A20" i="67"/>
  <c r="C20" i="67" s="1"/>
  <c r="B29" i="66"/>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 r="A47" i="70" l="1"/>
</calcChain>
</file>

<file path=xl/sharedStrings.xml><?xml version="1.0" encoding="utf-8"?>
<sst xmlns="http://schemas.openxmlformats.org/spreadsheetml/2006/main" count="2480" uniqueCount="1059">
  <si>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</si>
  <si>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</si>
  <si>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</si>
  <si>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</si>
  <si>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</si>
  <si>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</si>
  <si>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</si>
  <si>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</si>
  <si>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</si>
  <si>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</si>
  <si>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</si>
  <si>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</si>
  <si>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</si>
  <si>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</si>
  <si>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</si>
  <si>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</si>
  <si>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</si>
  <si>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</si>
  <si>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</si>
  <si>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</si>
  <si>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</si>
  <si>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</si>
  <si>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</si>
  <si>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</si>
  <si>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</si>
  <si>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</si>
  <si>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</si>
  <si>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</si>
  <si>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</si>
  <si>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</si>
  <si>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</si>
  <si>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</si>
  <si>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</si>
  <si>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</si>
  <si>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</si>
  <si>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</si>
  <si>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</si>
  <si>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</si>
  <si>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</si>
  <si>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</si>
  <si>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</si>
  <si>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</si>
  <si>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</si>
  <si>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</si>
  <si>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</si>
  <si>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</si>
  <si>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</si>
  <si>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</si>
  <si>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</si>
  <si>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</si>
  <si>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</si>
  <si>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</si>
  <si>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</si>
  <si>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</si>
  <si>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</si>
  <si>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</si>
  <si>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</si>
  <si>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</si>
  <si>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</si>
  <si>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</si>
  <si>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</si>
  <si>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</si>
  <si>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</si>
  <si>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</si>
  <si>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</si>
  <si>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</si>
  <si>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</si>
  <si>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</si>
  <si>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</si>
  <si>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</si>
  <si>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</si>
  <si>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</si>
  <si>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</si>
  <si>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</si>
  <si>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</si>
  <si>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</si>
  <si>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</si>
  <si>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</si>
  <si>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</si>
  <si>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</si>
  <si>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</si>
  <si>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</si>
  <si>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</si>
  <si>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</si>
  <si>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</si>
  <si>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</si>
  <si>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</si>
  <si>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</si>
  <si>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</si>
  <si>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</si>
  <si>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</si>
  <si>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</si>
  <si>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</si>
  <si>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</si>
  <si>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</si>
  <si>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</si>
  <si>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</si>
  <si>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</si>
  <si>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</si>
  <si>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</si>
  <si>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</si>
  <si>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</si>
  <si>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</si>
  <si>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</si>
  <si>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</si>
  <si>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</si>
  <si>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</si>
  <si>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</si>
  <si>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</si>
  <si>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</si>
  <si>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</si>
  <si>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</si>
  <si>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</si>
  <si>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</si>
  <si>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</si>
  <si>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</si>
  <si>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</si>
  <si>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</si>
  <si>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</si>
  <si>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</si>
  <si>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</si>
  <si>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</si>
  <si>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</si>
  <si>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</si>
  <si>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</si>
  <si>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</si>
  <si>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</si>
  <si>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</si>
  <si>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</si>
  <si>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</si>
  <si>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</si>
  <si>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</si>
  <si>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</si>
  <si>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</si>
  <si>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</si>
  <si>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</si>
  <si>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</si>
  <si>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</si>
  <si>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</si>
  <si>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</si>
  <si>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</si>
  <si>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</si>
  <si>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</si>
  <si>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</si>
  <si>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</si>
  <si>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</si>
  <si>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</si>
  <si>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</si>
  <si>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</si>
  <si>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</si>
  <si>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</si>
  <si>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</si>
  <si>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</si>
  <si>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</si>
  <si>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</si>
  <si>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</si>
  <si>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</si>
  <si>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</si>
  <si>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</si>
  <si>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</si>
  <si>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</si>
  <si>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</si>
  <si>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</si>
  <si>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</si>
  <si>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</si>
  <si>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</si>
  <si>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</si>
  <si>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</si>
  <si>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</si>
  <si>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</si>
  <si>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</si>
  <si>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</si>
  <si>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</si>
  <si>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</si>
  <si>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</si>
  <si>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</si>
  <si>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</si>
  <si>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</si>
  <si>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</si>
  <si>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</si>
  <si>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</si>
  <si>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</si>
  <si>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</si>
  <si>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</si>
  <si>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</si>
  <si>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</si>
  <si>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</si>
  <si>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</si>
  <si>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</si>
  <si>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</si>
  <si>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</si>
  <si>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</si>
  <si>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MAX</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</si>
  <si>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</si>
  <si>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</si>
  <si>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</si>
  <si>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</si>
  <si>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</si>
  <si>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</si>
  <si>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</si>
  <si>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</si>
  <si>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</si>
  <si>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</si>
  <si>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</si>
  <si>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</si>
  <si>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</si>
  <si>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</si>
  <si>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</si>
  <si>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</si>
  <si>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</si>
  <si>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</si>
  <si>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</si>
  <si>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</si>
  <si>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</si>
  <si>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</si>
  <si>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</si>
  <si>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</si>
  <si>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</si>
  <si>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</si>
  <si>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</si>
  <si>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</si>
  <si>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</si>
  <si>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</si>
  <si>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</si>
  <si>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</si>
  <si>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</si>
  <si>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</si>
  <si>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</si>
  <si>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</si>
  <si>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</si>
  <si>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</si>
  <si>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</si>
  <si>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</si>
  <si>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</si>
  <si>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</si>
  <si>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</si>
  <si>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</si>
  <si>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</si>
  <si>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</si>
  <si>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</si>
  <si>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</si>
  <si>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</si>
  <si>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</si>
  <si>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</si>
  <si>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</si>
  <si>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</si>
  <si>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</si>
  <si>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</si>
  <si>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</si>
  <si>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</si>
  <si>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</si>
  <si>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</si>
  <si>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</si>
  <si>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</si>
  <si>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</si>
  <si>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</si>
  <si>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</si>
  <si>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</si>
  <si>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</si>
  <si>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</si>
  <si>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</si>
  <si>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</si>
  <si>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</si>
  <si>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</si>
  <si>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</si>
  <si>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</si>
  <si>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</si>
  <si>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</si>
  <si>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</si>
  <si>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</si>
  <si>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</si>
  <si>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</si>
  <si>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</si>
  <si>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</si>
  <si>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</si>
  <si>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</si>
  <si>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</si>
  <si>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</si>
  <si>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</si>
  <si>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</si>
  <si>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</si>
  <si>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</si>
  <si>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</si>
  <si>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</si>
  <si>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</si>
  <si>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</si>
  <si>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</si>
  <si>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</si>
  <si>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</si>
  <si>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</si>
  <si>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</si>
  <si>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</si>
  <si>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</si>
  <si>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</si>
  <si>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</si>
  <si>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</si>
  <si>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</si>
  <si>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</si>
  <si>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</si>
  <si>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</si>
  <si>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</si>
  <si>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</si>
  <si>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</si>
  <si>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</si>
  <si>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</si>
  <si>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</si>
  <si>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</si>
  <si>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</si>
  <si>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</si>
  <si>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</si>
  <si>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</si>
  <si>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</si>
  <si>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</si>
  <si>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</si>
  <si>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</si>
  <si>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</si>
  <si>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</si>
  <si>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</si>
  <si>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</si>
  <si>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</si>
  <si>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</si>
  <si>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</si>
  <si>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</si>
  <si>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</si>
  <si>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</si>
  <si>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</si>
  <si>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</si>
  <si>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</si>
  <si>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</si>
  <si>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</si>
  <si>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</si>
  <si>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</si>
  <si>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</si>
  <si>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</si>
  <si>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</si>
  <si>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</si>
  <si>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</si>
  <si>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</si>
  <si>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</si>
  <si>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</si>
  <si>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</si>
  <si>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</si>
  <si>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</si>
  <si>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</si>
  <si>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</si>
  <si>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</si>
  <si>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</si>
  <si>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</si>
  <si>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</si>
  <si>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</si>
  <si>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</si>
  <si>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</si>
  <si>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</si>
  <si>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</si>
  <si>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</si>
  <si>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</si>
  <si>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</si>
  <si>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</si>
  <si>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</si>
  <si>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</si>
  <si>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</si>
  <si>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</si>
  <si>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</si>
  <si>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</si>
  <si>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</si>
  <si>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</si>
  <si>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</si>
  <si>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</si>
  <si>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</si>
  <si>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</si>
  <si>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</si>
  <si>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</si>
  <si>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</si>
  <si>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</si>
  <si>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</si>
  <si>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</si>
  <si>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</si>
  <si>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</si>
  <si>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</si>
  <si>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</si>
  <si>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</si>
  <si>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</si>
  <si>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</si>
  <si>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</si>
  <si>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</si>
  <si>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</si>
  <si>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</si>
  <si>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</si>
  <si>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</si>
  <si>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</si>
  <si>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</si>
  <si>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</si>
  <si>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</si>
  <si>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</si>
  <si>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</si>
  <si>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</si>
  <si>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</si>
  <si>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</si>
  <si>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</si>
  <si>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</si>
  <si>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</si>
  <si>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</si>
  <si>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</si>
  <si>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</si>
  <si>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</si>
  <si>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</si>
  <si>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</si>
  <si>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</si>
  <si>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</si>
  <si>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</si>
  <si>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</si>
  <si>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</si>
  <si>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</si>
  <si>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</si>
  <si>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</si>
  <si>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</si>
  <si>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</si>
  <si>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</si>
  <si>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</si>
  <si>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</si>
  <si>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</si>
  <si>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</si>
  <si>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</si>
  <si>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</si>
  <si>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</si>
  <si>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</si>
  <si>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</si>
  <si>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</si>
  <si>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</si>
  <si>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</si>
  <si>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</si>
  <si>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</si>
  <si>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</si>
  <si>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</si>
  <si>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</si>
  <si>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</si>
  <si>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</si>
  <si>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</si>
  <si>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</si>
  <si>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</si>
  <si>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</si>
  <si>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</si>
  <si>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</si>
  <si>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</si>
  <si>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</si>
  <si>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</si>
  <si>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</si>
  <si>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</si>
  <si>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</si>
  <si>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</si>
  <si>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</si>
  <si>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</si>
  <si>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</si>
  <si>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</si>
  <si>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</si>
  <si>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</si>
  <si>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</si>
  <si>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</si>
  <si>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</si>
  <si>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</si>
  <si>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</si>
  <si>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</si>
  <si>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</si>
  <si>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</si>
  <si>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</si>
  <si>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</si>
  <si>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</si>
  <si>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</si>
  <si>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</si>
  <si>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</si>
  <si>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</si>
  <si>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</si>
  <si>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</si>
  <si>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</si>
  <si>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</si>
  <si>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</si>
  <si>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</si>
  <si>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</si>
  <si>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</si>
  <si>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</si>
  <si>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</si>
  <si>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</si>
  <si>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</si>
  <si>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</si>
  <si>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</si>
  <si>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</si>
  <si>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</si>
  <si>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</si>
  <si>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</si>
  <si>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</si>
  <si>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</si>
  <si>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</si>
  <si>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</si>
  <si>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</si>
  <si>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</si>
  <si>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</si>
  <si>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</si>
  <si>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</si>
  <si>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</si>
  <si>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</si>
  <si>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</si>
  <si>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</si>
  <si>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</si>
  <si>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</si>
  <si>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</si>
  <si>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</si>
  <si>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</si>
  <si>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</si>
  <si>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</si>
  <si>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</si>
  <si>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</si>
  <si>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</si>
  <si>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</si>
  <si>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</si>
  <si>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</si>
  <si>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</si>
  <si>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</si>
  <si>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</si>
  <si>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</si>
  <si>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</si>
  <si>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</si>
  <si>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</si>
  <si>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</si>
  <si>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</si>
  <si>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</si>
  <si>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</si>
  <si>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</si>
  <si>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</si>
  <si>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</si>
  <si>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</si>
  <si>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</si>
  <si>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</si>
  <si>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</si>
  <si>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</si>
  <si>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</si>
  <si>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</si>
  <si>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</si>
  <si>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</si>
  <si>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</si>
  <si>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</si>
  <si>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</si>
  <si>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</si>
  <si>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</si>
  <si>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</si>
  <si>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</si>
  <si>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</si>
  <si>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</si>
  <si>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</si>
  <si>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</si>
  <si>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</si>
  <si>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</si>
  <si>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</si>
  <si>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</si>
  <si>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</si>
  <si>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</si>
  <si>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</si>
  <si>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</si>
  <si>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</si>
  <si>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</si>
  <si>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</si>
  <si>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</si>
  <si>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</si>
  <si>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</si>
  <si>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</si>
  <si>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</si>
  <si>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</si>
  <si>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</si>
  <si>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</si>
  <si>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</si>
  <si>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</si>
  <si>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</si>
  <si>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</si>
  <si>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</si>
  <si>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</si>
  <si>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</si>
  <si>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</si>
  <si>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</si>
  <si>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</si>
  <si>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</si>
  <si>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</si>
  <si>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</si>
  <si>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</si>
  <si>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</si>
  <si>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</si>
  <si>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</si>
  <si>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</si>
  <si>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</si>
  <si>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</si>
  <si>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</si>
  <si>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</si>
  <si>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</si>
  <si>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</si>
  <si>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</si>
  <si>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</si>
  <si>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</si>
  <si>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</si>
  <si>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</si>
  <si>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</si>
  <si>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</si>
  <si>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</si>
  <si>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</si>
  <si>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</si>
  <si>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</si>
  <si>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</si>
  <si>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</si>
  <si>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</si>
  <si>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</si>
  <si>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</si>
  <si>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</si>
  <si>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</si>
  <si>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</si>
  <si>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</si>
  <si>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</si>
  <si>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</si>
  <si>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</si>
  <si>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</si>
  <si>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</si>
  <si>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</si>
  <si>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</si>
  <si>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</si>
  <si>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</si>
  <si>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</si>
  <si>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</si>
  <si>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</si>
  <si>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</si>
  <si>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</si>
  <si>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</si>
  <si>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</si>
  <si>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</si>
  <si>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</si>
  <si>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</si>
  <si>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</si>
  <si>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</si>
  <si>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</si>
  <si>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</si>
  <si>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</si>
  <si>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</si>
  <si>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</si>
  <si>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</si>
  <si>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</si>
  <si>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</si>
  <si>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</si>
  <si>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</si>
  <si>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</si>
  <si>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</si>
  <si>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</si>
  <si>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</si>
  <si>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</si>
  <si>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</si>
  <si>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</si>
  <si>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</si>
  <si>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</si>
  <si>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</si>
  <si>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</si>
  <si>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</si>
  <si>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</si>
  <si>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</si>
  <si>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</si>
  <si>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</si>
  <si>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</si>
  <si>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</si>
  <si>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</si>
  <si>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</si>
  <si>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</si>
  <si>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</si>
  <si>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</si>
  <si>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</si>
  <si>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</si>
  <si>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</si>
  <si>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</si>
  <si>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</si>
  <si>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</si>
  <si>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</si>
  <si>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</si>
  <si>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</si>
  <si>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</si>
  <si>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</si>
  <si>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</si>
  <si>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</si>
  <si>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</si>
  <si>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</si>
  <si>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</si>
  <si>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</si>
  <si>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</si>
  <si>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</si>
  <si>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</si>
  <si>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</si>
  <si>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</si>
  <si>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</si>
  <si>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</si>
  <si>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</si>
  <si>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</si>
  <si>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</si>
  <si>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</si>
  <si>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</si>
  <si>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</si>
  <si>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</si>
  <si>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</si>
  <si>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</si>
  <si>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</si>
  <si>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</si>
  <si>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</si>
  <si>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</si>
  <si>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</si>
  <si>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</si>
  <si>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</si>
  <si>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</si>
  <si>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</si>
  <si>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</si>
  <si>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</si>
  <si>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</si>
  <si>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</si>
  <si>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</si>
  <si>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</si>
  <si>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</si>
  <si>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</si>
  <si>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</si>
  <si>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</si>
  <si>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</si>
  <si>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</si>
  <si>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</si>
  <si>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</si>
  <si>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</si>
  <si>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</si>
  <si>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</si>
  <si>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</si>
  <si>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</si>
  <si>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</si>
  <si>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</si>
  <si>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</si>
  <si>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</si>
  <si>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</si>
  <si>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</si>
  <si>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</si>
  <si>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</si>
  <si>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</si>
  <si>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</si>
  <si>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</si>
  <si>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</si>
  <si>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</si>
  <si>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</si>
  <si>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</si>
  <si>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</si>
  <si>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</si>
  <si>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</si>
  <si>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</si>
  <si>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</si>
  <si>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</si>
  <si>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</si>
  <si>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</si>
  <si>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</si>
  <si>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</si>
  <si>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</si>
  <si>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</si>
  <si>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</si>
  <si>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</si>
  <si>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</si>
  <si>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</si>
  <si>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</si>
  <si>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</si>
  <si>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</si>
  <si>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</si>
  <si>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</si>
  <si>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</si>
  <si>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</si>
  <si>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</si>
  <si>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</si>
  <si>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</si>
  <si>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</si>
  <si>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</si>
  <si>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</si>
  <si>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</si>
  <si>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</si>
  <si>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</si>
  <si>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</si>
  <si>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</si>
  <si>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</si>
  <si>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</si>
  <si>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</si>
  <si>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</si>
  <si>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</si>
  <si>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</si>
  <si>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</si>
  <si>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</si>
  <si>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</si>
  <si>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</si>
  <si>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</si>
  <si>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</si>
  <si>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</si>
  <si>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</si>
  <si>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</si>
  <si>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</si>
  <si>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</si>
  <si>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</si>
  <si>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</si>
  <si>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</si>
  <si>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</si>
  <si>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</si>
  <si>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</si>
  <si>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</si>
  <si>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</si>
  <si>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</si>
  <si>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</si>
  <si>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</si>
  <si>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</si>
  <si>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</si>
  <si>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</si>
  <si>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</si>
  <si>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</si>
  <si>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</si>
  <si>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</si>
  <si>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</si>
  <si>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</si>
  <si>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</si>
  <si>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</si>
  <si>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</si>
  <si>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</si>
  <si>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</si>
  <si>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</si>
  <si>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</si>
  <si>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</si>
  <si>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</si>
  <si>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</si>
  <si>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</si>
  <si>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</si>
  <si>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</si>
  <si>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</si>
  <si>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</si>
  <si>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</si>
  <si>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</si>
  <si>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</si>
  <si>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</si>
  <si>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</si>
  <si>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</si>
  <si>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</si>
  <si>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</si>
  <si>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</si>
  <si>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</si>
  <si>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</si>
  <si>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</si>
  <si>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</si>
  <si>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</si>
  <si>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</si>
  <si>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</si>
  <si>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</si>
  <si>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</si>
  <si>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</si>
  <si>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</si>
  <si>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</si>
  <si>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</si>
  <si>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</si>
  <si>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</si>
  <si>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</si>
  <si>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</si>
  <si>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</si>
  <si>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</si>
  <si>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</si>
  <si>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</si>
  <si>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</si>
  <si>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</si>
  <si>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</si>
  <si>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</si>
  <si>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</si>
  <si>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</si>
  <si>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</si>
  <si>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</si>
  <si>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</si>
  <si>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</si>
  <si>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</si>
  <si>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</si>
  <si>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</si>
  <si>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</si>
  <si>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</si>
  <si>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</si>
  <si>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</si>
  <si>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</si>
  <si>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</si>
  <si>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</si>
  <si>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</si>
  <si>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</si>
  <si>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</si>
  <si>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</si>
  <si>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</si>
  <si>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</si>
  <si>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</si>
  <si>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</si>
  <si>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</si>
  <si>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</si>
  <si>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</si>
  <si>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</si>
  <si>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</si>
  <si>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</si>
  <si>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</si>
  <si>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</si>
  <si>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</si>
  <si>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</si>
  <si>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</si>
  <si>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</si>
  <si>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</si>
  <si>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</si>
  <si>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</si>
  <si>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</si>
  <si>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</si>
  <si>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</si>
  <si>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</si>
  <si>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</si>
  <si>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</si>
  <si>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</si>
  <si>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</si>
  <si>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</si>
  <si>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</si>
  <si>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</si>
  <si>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</si>
  <si>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</si>
  <si>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</si>
  <si>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</si>
  <si>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</si>
  <si>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</si>
  <si>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</si>
  <si>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</si>
  <si>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</si>
  <si>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</si>
  <si>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</si>
  <si>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</si>
  <si>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</si>
  <si>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</si>
  <si>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</si>
  <si>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</si>
  <si>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</si>
  <si>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</si>
  <si>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</si>
  <si>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</si>
  <si>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</si>
  <si>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</si>
  <si>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</si>
  <si>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</si>
  <si>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</si>
  <si>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</si>
  <si>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</si>
  <si>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</si>
  <si>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</si>
  <si>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</si>
  <si>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</si>
  <si>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</si>
  <si>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</si>
  <si>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</si>
  <si>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</si>
  <si>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</si>
  <si>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</si>
  <si>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</si>
  <si>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</si>
  <si>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</si>
  <si>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</si>
  <si>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</si>
  <si>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</si>
  <si>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</si>
  <si>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</si>
  <si>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</si>
  <si>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</si>
  <si>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</si>
  <si>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</si>
  <si>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</si>
  <si>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</si>
  <si>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</si>
  <si>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</si>
  <si>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</si>
  <si>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</si>
  <si>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</si>
  <si>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</si>
  <si>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</si>
  <si>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</si>
  <si>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</si>
  <si>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</si>
  <si>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</si>
  <si>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</si>
  <si>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</si>
  <si>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</si>
  <si>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</si>
  <si>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</si>
  <si>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</si>
  <si>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</si>
  <si>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</si>
  <si>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</si>
  <si>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</si>
  <si>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</si>
  <si>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</si>
  <si>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</si>
  <si>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</si>
  <si>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</si>
  <si>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</si>
  <si>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</si>
  <si>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</si>
  <si>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</si>
  <si>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</si>
  <si>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</si>
  <si>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</si>
  <si>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</si>
  <si>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</si>
  <si>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</si>
  <si>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</si>
  <si>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</si>
  <si>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</si>
  <si>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</si>
  <si>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</si>
  <si>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</si>
  <si>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</si>
  <si>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</si>
  <si>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</si>
  <si>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</si>
  <si>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</si>
  <si>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</si>
  <si>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</si>
  <si>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</si>
  <si>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</si>
  <si>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</si>
  <si>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</si>
  <si>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</si>
  <si>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 xml:space="preserve"> =PMT(B24,B25,B26)</t>
  </si>
  <si>
    <t>It calculates the payment of a loan based on constant number of payments and a fixed interest rate</t>
  </si>
  <si>
    <t>What does NPER do?</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</si>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</sst>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quot;₱&quot;* #,##0.00_-;_-&quot;₱&quot;* &quot;-&quot;??_-;_-@_-"/>
    <numFmt numFmtId="43" formatCode="_-* #,##0.00_-;\-* #,##0.00_-;_-* &quot;-&quot;??_-;_-@_-"/>
    <numFmt numFmtId="164" formatCode="&quot;£&quot;#,##0;[Red]\-&quot;£&quot;#,##0"/>
    <numFmt numFmtId="165" formatCode="&quot;£&quot;#,##0.00;[Red]\-&quot;£&quot;#,##0.00"/>
    <numFmt numFmtId="166" formatCode="&quot;£&quot;#,##0_);[Red]\(&quot;£&quot;#,##0\)"/>
    <numFmt numFmtId="167" formatCode="&quot;$&quot;#,##0"/>
    <numFmt numFmtId="168" formatCode="&quot;£&quot;#,##0"/>
    <numFmt numFmtId="169" formatCode="&quot;$&quot;#,##0.00"/>
    <numFmt numFmtId="170" formatCode="[$$-409]#,##0"/>
    <numFmt numFmtId="171" formatCode="&quot;£&quot;#,##0.00"/>
    <numFmt numFmtId="173" formatCode="#,##0.0000000"/>
    <numFmt numFmtId="174" formatCode="#,##0.000"/>
    <numFmt numFmtId="175" formatCode="#,##0.0000"/>
    <numFmt numFmtId="176" formatCode="[$$-409]#,##0;[Red][$$-409]#,##0"/>
    <numFmt numFmtId="177" formatCode="[$$-409]#,##0.00_ ;[Red]\-[$$-409]#,##0.00\ "/>
    <numFmt numFmtId="178" formatCode="[$$-409]#,##0_ ;[Red]\-[$$-409]#,##0\ "/>
    <numFmt numFmtId="179" formatCode="_-[$£-809]* #,##0_-;\-[$£-809]* #,##0_-;_-[$£-809]* &quot;-&quot;_-;_-@_-"/>
    <numFmt numFmtId="180" formatCode="[$$-409]#,##0_ ;\-[$$-409]#,##0\ "/>
    <numFmt numFmtId="181" formatCode="&quot;₱&quot;#,##0"/>
  </numFmts>
  <fonts count="29">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
      <sz val="10"/>
      <color theme="1"/>
      <name val="Barclays Serif"/>
      <family val="2"/>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8">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7" fillId="0" borderId="0"/>
    <xf numFmtId="44" fontId="24" fillId="0" borderId="0" applyFont="0" applyFill="0" applyBorder="0" applyAlignment="0" applyProtection="0"/>
  </cellStyleXfs>
  <cellXfs count="216">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6"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6"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6"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6"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6"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7"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7"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8"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5" fontId="0" fillId="0" borderId="4" xfId="0" applyNumberFormat="1" applyBorder="1" applyAlignment="1">
      <alignment horizontal="center"/>
    </xf>
    <xf numFmtId="164"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9"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0" fontId="0" fillId="0" borderId="4" xfId="0" applyNumberFormat="1" applyBorder="1" applyAlignment="1">
      <alignment horizontal="center"/>
    </xf>
    <xf numFmtId="170"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1" fontId="0" fillId="0" borderId="4" xfId="0" applyNumberFormat="1" applyBorder="1" applyAlignment="1">
      <alignment horizontal="center"/>
    </xf>
    <xf numFmtId="168" fontId="0" fillId="0" borderId="4" xfId="0" applyNumberFormat="1" applyBorder="1" applyAlignment="1">
      <alignment horizontal="center"/>
    </xf>
    <xf numFmtId="1" fontId="0" fillId="0" borderId="4" xfId="0" applyNumberFormat="1" applyBorder="1" applyAlignment="1">
      <alignment horizontal="center" vertical="center" wrapText="1"/>
    </xf>
    <xf numFmtId="173" fontId="0" fillId="0" borderId="4" xfId="4" applyNumberFormat="1" applyFont="1" applyBorder="1" applyAlignment="1">
      <alignment horizontal="center"/>
    </xf>
    <xf numFmtId="4" fontId="0" fillId="0" borderId="4" xfId="0" applyNumberFormat="1" applyBorder="1" applyAlignment="1">
      <alignment horizontal="center"/>
    </xf>
    <xf numFmtId="174" fontId="0" fillId="0" borderId="4" xfId="0" applyNumberFormat="1" applyBorder="1" applyAlignment="1">
      <alignment horizontal="center"/>
    </xf>
    <xf numFmtId="3" fontId="0" fillId="0" borderId="4" xfId="0" applyNumberFormat="1" applyBorder="1" applyAlignment="1">
      <alignment horizontal="center"/>
    </xf>
    <xf numFmtId="175" fontId="0" fillId="0" borderId="4" xfId="4" applyNumberFormat="1" applyFont="1" applyBorder="1" applyAlignment="1">
      <alignment horizontal="center"/>
    </xf>
    <xf numFmtId="174" fontId="0" fillId="0" borderId="4" xfId="4" applyNumberFormat="1" applyFont="1" applyBorder="1" applyAlignment="1">
      <alignment horizontal="center"/>
    </xf>
    <xf numFmtId="4" fontId="0" fillId="0" borderId="4" xfId="4" applyNumberFormat="1" applyFont="1" applyBorder="1" applyAlignment="1">
      <alignment horizontal="center"/>
    </xf>
    <xf numFmtId="176" fontId="0" fillId="0" borderId="4" xfId="0" applyNumberFormat="1" applyBorder="1" applyAlignment="1">
      <alignment horizontal="center"/>
    </xf>
    <xf numFmtId="177" fontId="0" fillId="0" borderId="4" xfId="0" applyNumberFormat="1" applyBorder="1" applyAlignment="1">
      <alignment horizontal="center"/>
    </xf>
    <xf numFmtId="177" fontId="25" fillId="0" borderId="4" xfId="0" applyNumberFormat="1" applyFont="1" applyBorder="1" applyAlignment="1">
      <alignment horizontal="center"/>
    </xf>
    <xf numFmtId="177" fontId="22" fillId="0" borderId="4" xfId="0" applyNumberFormat="1" applyFont="1" applyBorder="1" applyAlignment="1">
      <alignment horizontal="center"/>
    </xf>
    <xf numFmtId="178" fontId="0" fillId="0" borderId="4" xfId="0" applyNumberFormat="1" applyBorder="1" applyAlignment="1">
      <alignment horizontal="center"/>
    </xf>
    <xf numFmtId="0" fontId="17" fillId="0" borderId="34" xfId="0" applyFont="1" applyBorder="1" applyAlignment="1">
      <alignment horizontal="left"/>
    </xf>
    <xf numFmtId="166"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6"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79" fontId="17" fillId="0" borderId="4" xfId="0" applyNumberFormat="1" applyFont="1" applyBorder="1" applyAlignment="1">
      <alignment horizontal="center"/>
    </xf>
    <xf numFmtId="179" fontId="17" fillId="0" borderId="4" xfId="7" applyNumberFormat="1" applyFont="1" applyBorder="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14"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 fontId="0" fillId="0" borderId="4" xfId="0" applyNumberFormat="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4" fontId="0" fillId="6" borderId="4" xfId="0" applyNumberFormat="1" applyFill="1" applyBorder="1" applyAlignment="1">
      <alignment horizontal="center"/>
    </xf>
    <xf numFmtId="18" fontId="0" fillId="0" borderId="4" xfId="0" applyNumberFormat="1" applyBorder="1" applyAlignment="1">
      <alignment horizontal="center"/>
    </xf>
    <xf numFmtId="0" fontId="17" fillId="0" borderId="4" xfId="0" applyFont="1" applyBorder="1" applyAlignment="1">
      <alignment horizontal="left" vertical="center" wrapText="1"/>
    </xf>
    <xf numFmtId="0" fontId="17" fillId="0" borderId="4" xfId="0" applyFont="1" applyBorder="1" applyAlignment="1">
      <alignment horizontal="center" vertical="top" wrapText="1"/>
    </xf>
    <xf numFmtId="0" fontId="25" fillId="0" borderId="4" xfId="0" applyFont="1" applyBorder="1" applyAlignment="1">
      <alignment horizontal="center"/>
    </xf>
    <xf numFmtId="0" fontId="22" fillId="0" borderId="4" xfId="0" applyFont="1" applyBorder="1" applyAlignment="1">
      <alignment horizontal="center"/>
    </xf>
    <xf numFmtId="0" fontId="17" fillId="0" borderId="0" xfId="0" applyFont="1" applyAlignment="1">
      <alignment horizontal="center" vertical="top"/>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174" fontId="0" fillId="0" borderId="4" xfId="0" applyNumberFormat="1" applyBorder="1" applyAlignment="1">
      <alignment horizontal="center"/>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4" xfId="0" applyBorder="1" applyAlignment="1">
      <alignment horizontal="left" vertical="top"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37" xfId="0" applyBorder="1" applyAlignment="1">
      <alignment horizontal="left" vertical="center" wrapText="1"/>
    </xf>
    <xf numFmtId="166" fontId="28" fillId="2" borderId="4" xfId="3" applyNumberFormat="1" applyFont="1" applyFill="1" applyBorder="1" applyAlignment="1">
      <alignment horizontal="center"/>
    </xf>
    <xf numFmtId="180" fontId="0" fillId="0" borderId="4" xfId="0" applyNumberFormat="1" applyBorder="1" applyAlignment="1">
      <alignment horizontal="center" vertical="center"/>
    </xf>
    <xf numFmtId="181" fontId="0" fillId="0" borderId="4" xfId="0" applyNumberFormat="1" applyBorder="1" applyAlignment="1">
      <alignment horizontal="center" vertical="center"/>
    </xf>
  </cellXfs>
  <cellStyles count="8">
    <cellStyle name="Comma" xfId="4" builtinId="3"/>
    <cellStyle name="Currency" xfId="7" builtinId="4"/>
    <cellStyle name="GreyOrWhite" xfId="2" xr:uid="{00000000-0005-0000-0000-000002000000}"/>
    <cellStyle name="Normal" xfId="0" builtinId="0"/>
    <cellStyle name="Normal 2" xfId="1" xr:uid="{00000000-0005-0000-0000-000004000000}"/>
    <cellStyle name="Normal 2 2" xfId="6" xr:uid="{00000000-0005-0000-0000-000005000000}"/>
    <cellStyle name="Percent" xfId="5" builtinId="5"/>
    <cellStyle name="Yellow" xfId="3" xr:uid="{00000000-0005-0000-0000-00000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topLeftCell="A4" zoomScale="90" zoomScaleNormal="90" workbookViewId="0">
      <selection activeCell="C34" sqref="C34"/>
    </sheetView>
  </sheetViews>
  <sheetFormatPr defaultRowHeight="14.4"/>
  <cols>
    <col min="1" max="1" width="10" customWidth="1"/>
    <col min="2" max="2" width="11.5546875" bestFit="1" customWidth="1"/>
    <col min="3" max="3" width="11.6640625" customWidth="1"/>
    <col min="9" max="9" width="10.109375" customWidth="1"/>
    <col min="10" max="10" width="12.109375" customWidth="1"/>
    <col min="11" max="11" width="11.33203125" customWidth="1"/>
    <col min="12" max="12" width="10.109375" customWidth="1"/>
  </cols>
  <sheetData>
    <row r="1" spans="1:12" ht="31.8" thickBot="1">
      <c r="A1" s="72" t="s">
        <v>158</v>
      </c>
      <c r="B1" s="73"/>
      <c r="C1" s="73"/>
      <c r="D1" s="73"/>
      <c r="E1" s="73"/>
      <c r="F1" s="73"/>
      <c r="G1" s="73"/>
      <c r="H1" s="73"/>
      <c r="I1" s="73"/>
      <c r="J1" s="73"/>
      <c r="K1" s="73"/>
      <c r="L1" s="73"/>
    </row>
    <row r="2" spans="1:12" ht="15" thickTop="1"/>
    <row r="3" spans="1:12" ht="18">
      <c r="A3" s="71" t="s">
        <v>204</v>
      </c>
    </row>
    <row r="4" spans="1:12">
      <c r="A4" t="s">
        <v>205</v>
      </c>
    </row>
    <row r="6" spans="1:12" ht="18">
      <c r="A6" s="71" t="s">
        <v>24</v>
      </c>
    </row>
    <row r="7" spans="1:12" ht="15.6">
      <c r="A7" s="76" t="s">
        <v>230</v>
      </c>
    </row>
    <row r="9" spans="1:12" ht="15.6">
      <c r="A9" s="70" t="s">
        <v>231</v>
      </c>
    </row>
    <row r="10" spans="1:12">
      <c r="A10" s="150" t="s">
        <v>276</v>
      </c>
      <c r="B10" s="150"/>
      <c r="C10" s="150"/>
      <c r="D10" s="150"/>
      <c r="E10" s="150"/>
      <c r="F10" s="150"/>
      <c r="G10" s="150"/>
      <c r="H10" s="150"/>
      <c r="I10" s="150"/>
      <c r="J10" s="150"/>
      <c r="K10" s="150"/>
    </row>
    <row r="11" spans="1:12">
      <c r="A11" s="150"/>
      <c r="B11" s="150"/>
      <c r="C11" s="150"/>
      <c r="D11" s="150"/>
      <c r="E11" s="150"/>
      <c r="F11" s="150"/>
      <c r="G11" s="150"/>
      <c r="H11" s="150"/>
      <c r="I11" s="150"/>
      <c r="J11" s="150"/>
      <c r="K11" s="150"/>
    </row>
    <row r="12" spans="1:12">
      <c r="A12" s="81"/>
      <c r="B12" s="81"/>
      <c r="C12" s="81"/>
      <c r="D12" s="81"/>
      <c r="E12" s="81"/>
      <c r="F12" s="81"/>
      <c r="G12" s="81"/>
      <c r="H12" s="81"/>
      <c r="I12" s="81"/>
      <c r="J12" s="81"/>
      <c r="K12" s="81"/>
    </row>
    <row r="13" spans="1:12" ht="15.6">
      <c r="A13" s="70" t="s">
        <v>232</v>
      </c>
    </row>
    <row r="14" spans="1:12">
      <c r="A14" t="s">
        <v>206</v>
      </c>
    </row>
    <row r="16" spans="1:12" ht="15.6">
      <c r="A16" s="70" t="s">
        <v>233</v>
      </c>
    </row>
    <row r="17" spans="1:11">
      <c r="A17" t="s">
        <v>207</v>
      </c>
    </row>
    <row r="19" spans="1:11" ht="15.6">
      <c r="A19" s="70" t="s">
        <v>48</v>
      </c>
    </row>
    <row r="20" spans="1:11">
      <c r="A20" t="s">
        <v>219</v>
      </c>
    </row>
    <row r="21" spans="1:11">
      <c r="A21" s="75" t="s">
        <v>208</v>
      </c>
      <c r="B21" s="75" t="s">
        <v>213</v>
      </c>
      <c r="C21" s="75" t="s">
        <v>214</v>
      </c>
      <c r="D21" s="151" t="s">
        <v>218</v>
      </c>
      <c r="E21" s="151"/>
      <c r="F21" s="151"/>
    </row>
    <row r="22" spans="1:11">
      <c r="A22" s="74" t="s">
        <v>209</v>
      </c>
      <c r="B22" s="74">
        <v>90</v>
      </c>
      <c r="C22" s="75" t="str">
        <f>IF(B22&gt;=40,"Pass","Fail")</f>
        <v>Pass</v>
      </c>
      <c r="D22" s="152" t="s">
        <v>215</v>
      </c>
      <c r="E22" s="153"/>
      <c r="F22" s="154"/>
    </row>
    <row r="23" spans="1:11">
      <c r="A23" s="74" t="s">
        <v>210</v>
      </c>
      <c r="B23" s="74">
        <v>70</v>
      </c>
      <c r="C23" s="75" t="str">
        <f t="shared" ref="C23:C25" si="0">IF(B23&gt;=40,"Pass","Fail")</f>
        <v>Pass</v>
      </c>
      <c r="D23" s="152" t="s">
        <v>216</v>
      </c>
      <c r="E23" s="153"/>
      <c r="F23" s="154"/>
    </row>
    <row r="24" spans="1:11">
      <c r="A24" s="74" t="s">
        <v>211</v>
      </c>
      <c r="B24" s="74">
        <v>20</v>
      </c>
      <c r="C24" s="75" t="str">
        <f t="shared" si="0"/>
        <v>Fail</v>
      </c>
      <c r="D24" s="152" t="s">
        <v>217</v>
      </c>
      <c r="E24" s="153"/>
      <c r="F24" s="154"/>
    </row>
    <row r="25" spans="1:11">
      <c r="A25" s="74" t="s">
        <v>212</v>
      </c>
      <c r="B25" s="74">
        <v>41</v>
      </c>
      <c r="C25" s="75" t="str">
        <f t="shared" si="0"/>
        <v>Pass</v>
      </c>
      <c r="D25" s="155" t="s">
        <v>290</v>
      </c>
      <c r="E25" s="155"/>
      <c r="F25" s="155"/>
    </row>
    <row r="27" spans="1:11" ht="15.6">
      <c r="A27" s="70" t="s">
        <v>156</v>
      </c>
    </row>
    <row r="28" spans="1:11" ht="15" customHeight="1">
      <c r="A28" s="150" t="s">
        <v>238</v>
      </c>
      <c r="B28" s="150"/>
      <c r="C28" s="150"/>
      <c r="D28" s="150"/>
      <c r="E28" s="150"/>
      <c r="F28" s="150"/>
      <c r="G28" s="150"/>
      <c r="H28" s="150"/>
      <c r="I28" s="150"/>
      <c r="J28" s="150"/>
      <c r="K28" s="150"/>
    </row>
    <row r="29" spans="1:11">
      <c r="A29" s="150"/>
      <c r="B29" s="150"/>
      <c r="C29" s="150"/>
      <c r="D29" s="150"/>
      <c r="E29" s="150"/>
      <c r="F29" s="150"/>
      <c r="G29" s="150"/>
      <c r="H29" s="150"/>
      <c r="I29" s="150"/>
      <c r="J29" s="150"/>
      <c r="K29" s="150"/>
    </row>
    <row r="30" spans="1:11">
      <c r="A30" s="81"/>
      <c r="B30" s="81"/>
      <c r="C30" s="81"/>
      <c r="D30" s="81"/>
      <c r="E30" s="81"/>
      <c r="F30" s="81"/>
      <c r="G30" s="81"/>
      <c r="H30" s="81"/>
      <c r="I30" s="81"/>
      <c r="J30" s="81"/>
    </row>
    <row r="31" spans="1:11" ht="15.6">
      <c r="A31" s="70" t="s">
        <v>236</v>
      </c>
    </row>
    <row r="32" spans="1:11">
      <c r="A32" t="s">
        <v>229</v>
      </c>
    </row>
    <row r="33" spans="1:3">
      <c r="A33" s="75" t="s">
        <v>220</v>
      </c>
      <c r="B33" s="75" t="s">
        <v>225</v>
      </c>
      <c r="C33" s="75" t="s">
        <v>228</v>
      </c>
    </row>
    <row r="34" spans="1:3">
      <c r="A34" s="74" t="s">
        <v>221</v>
      </c>
      <c r="B34" s="74" t="s">
        <v>226</v>
      </c>
      <c r="C34" s="77" t="str">
        <f>IF(B34="AVP","$2,000","$1,000")</f>
        <v>$2,000</v>
      </c>
    </row>
    <row r="35" spans="1:3">
      <c r="A35" s="74" t="s">
        <v>222</v>
      </c>
      <c r="B35" s="74" t="s">
        <v>227</v>
      </c>
      <c r="C35" s="77" t="str">
        <f t="shared" ref="C35:C37" si="1">IF(B35="AVP","$2,000","$1,000")</f>
        <v>$1,000</v>
      </c>
    </row>
    <row r="36" spans="1:3">
      <c r="A36" s="74" t="s">
        <v>223</v>
      </c>
      <c r="B36" s="74" t="s">
        <v>227</v>
      </c>
      <c r="C36" s="77" t="str">
        <f t="shared" si="1"/>
        <v>$1,000</v>
      </c>
    </row>
    <row r="37" spans="1:3">
      <c r="A37" s="74" t="s">
        <v>224</v>
      </c>
      <c r="B37" s="74" t="s">
        <v>227</v>
      </c>
      <c r="C37" s="77" t="str">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topLeftCell="A4" zoomScale="90" zoomScaleNormal="90" workbookViewId="0">
      <selection activeCell="F38" sqref="F38"/>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72" t="s">
        <v>157</v>
      </c>
      <c r="B1" s="73"/>
      <c r="C1" s="73"/>
      <c r="D1" s="73"/>
      <c r="E1" s="73"/>
      <c r="F1" s="73"/>
      <c r="G1" s="73"/>
      <c r="H1" s="73"/>
      <c r="I1" s="73"/>
      <c r="J1" s="73"/>
      <c r="K1" s="73"/>
      <c r="L1" s="73"/>
    </row>
    <row r="2" spans="1:12" ht="15" thickTop="1"/>
    <row r="3" spans="1:12" ht="18">
      <c r="A3" s="71" t="s">
        <v>204</v>
      </c>
    </row>
    <row r="4" spans="1:12">
      <c r="A4" s="150" t="s">
        <v>239</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
      <c r="A7" s="71" t="s">
        <v>24</v>
      </c>
    </row>
    <row r="8" spans="1:12" ht="15.6">
      <c r="A8" s="76" t="s">
        <v>240</v>
      </c>
    </row>
    <row r="10" spans="1:12" ht="15.6">
      <c r="A10" s="70" t="s">
        <v>241</v>
      </c>
    </row>
    <row r="11" spans="1:12">
      <c r="A11" t="s">
        <v>242</v>
      </c>
    </row>
    <row r="13" spans="1:12" ht="15.6">
      <c r="A13" s="70" t="s">
        <v>243</v>
      </c>
    </row>
    <row r="14" spans="1:12">
      <c r="A14" t="s">
        <v>244</v>
      </c>
    </row>
    <row r="16" spans="1:12" ht="15.6">
      <c r="A16" s="70" t="s">
        <v>44</v>
      </c>
    </row>
    <row r="17" spans="1:10">
      <c r="A17" t="s">
        <v>247</v>
      </c>
    </row>
    <row r="18" spans="1:10">
      <c r="A18" s="75" t="s">
        <v>245</v>
      </c>
      <c r="B18" s="75" t="s">
        <v>246</v>
      </c>
      <c r="C18" s="75" t="s">
        <v>49</v>
      </c>
      <c r="D18" s="151" t="s">
        <v>218</v>
      </c>
      <c r="E18" s="151"/>
    </row>
    <row r="19" spans="1:10">
      <c r="A19" s="83">
        <v>1</v>
      </c>
      <c r="B19" s="83">
        <v>2</v>
      </c>
      <c r="C19" s="74" t="b">
        <f>AND(A19&gt;0,B19&gt;0)</f>
        <v>1</v>
      </c>
      <c r="D19" s="152" t="s">
        <v>248</v>
      </c>
      <c r="E19" s="154"/>
    </row>
    <row r="20" spans="1:10">
      <c r="A20" s="83">
        <v>1</v>
      </c>
      <c r="B20" s="83">
        <v>-2</v>
      </c>
      <c r="C20" s="74" t="b">
        <f>AND(A20&gt;0,B20&gt;0)</f>
        <v>0</v>
      </c>
      <c r="D20" s="152" t="s">
        <v>291</v>
      </c>
      <c r="E20" s="154"/>
    </row>
    <row r="21" spans="1:10" ht="15.6">
      <c r="A21" s="70"/>
    </row>
    <row r="22" spans="1:10" ht="15.6">
      <c r="A22" s="70" t="s">
        <v>78</v>
      </c>
    </row>
    <row r="23" spans="1:10">
      <c r="A23" s="150" t="s">
        <v>249</v>
      </c>
      <c r="B23" s="150"/>
      <c r="C23" s="150"/>
      <c r="D23" s="150"/>
      <c r="E23" s="150"/>
      <c r="F23" s="150"/>
      <c r="G23" s="150"/>
      <c r="H23" s="150"/>
      <c r="I23" s="150"/>
      <c r="J23" s="150"/>
    </row>
    <row r="24" spans="1:10">
      <c r="A24" s="150"/>
      <c r="B24" s="150"/>
      <c r="C24" s="150"/>
      <c r="D24" s="150"/>
      <c r="E24" s="150"/>
      <c r="F24" s="150"/>
      <c r="G24" s="150"/>
      <c r="H24" s="150"/>
      <c r="I24" s="150"/>
      <c r="J24" s="150"/>
    </row>
    <row r="25" spans="1:10">
      <c r="A25" s="75" t="s">
        <v>208</v>
      </c>
      <c r="B25" s="75" t="s">
        <v>250</v>
      </c>
      <c r="C25" s="75" t="s">
        <v>251</v>
      </c>
      <c r="D25" s="75" t="s">
        <v>254</v>
      </c>
      <c r="E25" s="151" t="s">
        <v>218</v>
      </c>
      <c r="F25" s="151"/>
      <c r="G25" s="151"/>
      <c r="H25" s="151"/>
      <c r="I25" s="151"/>
    </row>
    <row r="26" spans="1:10">
      <c r="A26" s="74" t="s">
        <v>209</v>
      </c>
      <c r="B26" s="74" t="s">
        <v>252</v>
      </c>
      <c r="C26" s="74" t="s">
        <v>252</v>
      </c>
      <c r="D26" s="74" t="str">
        <f>IF(AND(B26="PASS",C26="PASS"),"PASS","FAIL")</f>
        <v>PASS</v>
      </c>
      <c r="E26" s="152" t="s">
        <v>255</v>
      </c>
      <c r="F26" s="153"/>
      <c r="G26" s="153"/>
      <c r="H26" s="153"/>
      <c r="I26" s="154"/>
    </row>
    <row r="27" spans="1:10">
      <c r="A27" s="74" t="s">
        <v>210</v>
      </c>
      <c r="B27" s="74" t="s">
        <v>252</v>
      </c>
      <c r="C27" s="74" t="s">
        <v>253</v>
      </c>
      <c r="D27" s="74" t="str">
        <f t="shared" ref="D27:D29" si="0">IF(AND(B27="PASS",C27="PASS"),"PASS","FAIL")</f>
        <v>FAIL</v>
      </c>
      <c r="E27" s="152" t="s">
        <v>256</v>
      </c>
      <c r="F27" s="153"/>
      <c r="G27" s="153"/>
      <c r="H27" s="153"/>
      <c r="I27" s="154"/>
    </row>
    <row r="28" spans="1:10">
      <c r="A28" s="74" t="s">
        <v>211</v>
      </c>
      <c r="B28" s="74" t="s">
        <v>253</v>
      </c>
      <c r="C28" s="74" t="s">
        <v>252</v>
      </c>
      <c r="D28" s="74" t="str">
        <f t="shared" si="0"/>
        <v>FAIL</v>
      </c>
      <c r="E28" s="152" t="s">
        <v>257</v>
      </c>
      <c r="F28" s="153"/>
      <c r="G28" s="153"/>
      <c r="H28" s="153"/>
      <c r="I28" s="154"/>
    </row>
    <row r="29" spans="1:10">
      <c r="A29" s="74" t="s">
        <v>212</v>
      </c>
      <c r="B29" s="74" t="s">
        <v>252</v>
      </c>
      <c r="C29" s="74" t="s">
        <v>252</v>
      </c>
      <c r="D29" s="74" t="str">
        <f t="shared" si="0"/>
        <v>PASS</v>
      </c>
      <c r="E29" s="155" t="s">
        <v>292</v>
      </c>
      <c r="F29" s="155"/>
      <c r="G29" s="155"/>
      <c r="H29" s="155"/>
      <c r="I29" s="155"/>
    </row>
    <row r="32" spans="1:10" ht="15.6">
      <c r="A32" s="70" t="s">
        <v>236</v>
      </c>
    </row>
    <row r="33" spans="1:10" ht="15" customHeight="1">
      <c r="A33" s="150" t="s">
        <v>258</v>
      </c>
      <c r="B33" s="150"/>
      <c r="C33" s="150"/>
      <c r="D33" s="150"/>
      <c r="E33" s="150"/>
      <c r="F33" s="150"/>
      <c r="G33" s="150"/>
      <c r="H33" s="150"/>
      <c r="I33" s="150"/>
      <c r="J33" s="150"/>
    </row>
    <row r="34" spans="1:10">
      <c r="A34" s="150"/>
      <c r="B34" s="150"/>
      <c r="C34" s="150"/>
      <c r="D34" s="150"/>
      <c r="E34" s="150"/>
      <c r="F34" s="150"/>
      <c r="G34" s="150"/>
      <c r="H34" s="150"/>
      <c r="I34" s="150"/>
      <c r="J34" s="150"/>
    </row>
    <row r="35" spans="1:10" ht="37.5" customHeight="1">
      <c r="A35" s="85" t="s">
        <v>220</v>
      </c>
      <c r="B35" s="85" t="s">
        <v>225</v>
      </c>
      <c r="C35" s="85" t="s">
        <v>153</v>
      </c>
      <c r="D35" s="78" t="s">
        <v>259</v>
      </c>
      <c r="E35" s="78" t="s">
        <v>262</v>
      </c>
    </row>
    <row r="36" spans="1:10">
      <c r="A36" s="74" t="s">
        <v>221</v>
      </c>
      <c r="B36" s="74" t="s">
        <v>226</v>
      </c>
      <c r="C36" s="82">
        <v>51</v>
      </c>
      <c r="D36" s="82" t="s">
        <v>260</v>
      </c>
      <c r="E36" s="79" t="str">
        <f>IF(AND(C36&gt;50,D36="YES"),"Yes","No")</f>
        <v>Yes</v>
      </c>
    </row>
    <row r="37" spans="1:10">
      <c r="A37" s="74" t="s">
        <v>222</v>
      </c>
      <c r="B37" s="74" t="s">
        <v>227</v>
      </c>
      <c r="C37" s="82">
        <v>100</v>
      </c>
      <c r="D37" s="82" t="s">
        <v>261</v>
      </c>
      <c r="E37" s="79" t="str">
        <f t="shared" ref="E37:E39" si="1">IF(AND(C37&gt;50,D37="YES"),"Yes","No")</f>
        <v>No</v>
      </c>
    </row>
    <row r="38" spans="1:10">
      <c r="A38" s="74" t="s">
        <v>223</v>
      </c>
      <c r="B38" s="74" t="s">
        <v>227</v>
      </c>
      <c r="C38" s="82">
        <v>49</v>
      </c>
      <c r="D38" s="82" t="s">
        <v>260</v>
      </c>
      <c r="E38" s="79" t="str">
        <f t="shared" si="1"/>
        <v>No</v>
      </c>
    </row>
    <row r="39" spans="1:10">
      <c r="A39" s="74" t="s">
        <v>224</v>
      </c>
      <c r="B39" s="74" t="s">
        <v>227</v>
      </c>
      <c r="C39" s="82">
        <v>75</v>
      </c>
      <c r="D39" s="82" t="s">
        <v>260</v>
      </c>
      <c r="E39" s="79" t="str">
        <f t="shared" si="1"/>
        <v>Yes</v>
      </c>
    </row>
  </sheetData>
  <mergeCells count="11">
    <mergeCell ref="A4:J5"/>
    <mergeCell ref="D18:E18"/>
    <mergeCell ref="A23:J24"/>
    <mergeCell ref="E25:I25"/>
    <mergeCell ref="D20:E20"/>
    <mergeCell ref="D19:E19"/>
    <mergeCell ref="A33:J34"/>
    <mergeCell ref="E26:I26"/>
    <mergeCell ref="E27:I27"/>
    <mergeCell ref="E28:I28"/>
    <mergeCell ref="E29:I2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4" zoomScale="90" zoomScaleNormal="90" workbookViewId="0">
      <selection activeCell="G36" sqref="G36:G39"/>
    </sheetView>
  </sheetViews>
  <sheetFormatPr defaultRowHeight="14.4"/>
  <cols>
    <col min="1" max="1" width="11.6640625" customWidth="1"/>
    <col min="2" max="2" width="11.5546875" customWidth="1"/>
    <col min="3" max="3" width="10.109375" customWidth="1"/>
    <col min="4" max="4" width="10" customWidth="1"/>
    <col min="5" max="5" width="11.5546875" bestFit="1" customWidth="1"/>
    <col min="6" max="6" width="12.44140625" bestFit="1" customWidth="1"/>
    <col min="9" max="9" width="11.44140625" customWidth="1"/>
    <col min="10" max="10" width="12.109375" customWidth="1"/>
    <col min="11" max="11" width="11.33203125" customWidth="1"/>
    <col min="12" max="12" width="10.109375" customWidth="1"/>
  </cols>
  <sheetData>
    <row r="1" spans="1:12" ht="31.8" thickBot="1">
      <c r="A1" s="156" t="s">
        <v>263</v>
      </c>
      <c r="B1" s="156"/>
      <c r="C1" s="73"/>
      <c r="D1" s="73"/>
      <c r="E1" s="73"/>
      <c r="F1" s="73"/>
      <c r="G1" s="73"/>
      <c r="H1" s="73"/>
      <c r="I1" s="73"/>
      <c r="J1" s="73"/>
      <c r="K1" s="73"/>
      <c r="L1" s="73"/>
    </row>
    <row r="2" spans="1:12" ht="15" thickTop="1"/>
    <row r="3" spans="1:12" ht="18">
      <c r="A3" s="71" t="s">
        <v>204</v>
      </c>
    </row>
    <row r="4" spans="1:12">
      <c r="A4" s="150" t="s">
        <v>266</v>
      </c>
      <c r="B4" s="150"/>
      <c r="C4" s="150"/>
      <c r="D4" s="150"/>
      <c r="E4" s="150"/>
      <c r="F4" s="150"/>
      <c r="G4" s="150"/>
      <c r="H4" s="150"/>
      <c r="I4" s="150"/>
      <c r="J4" s="150"/>
    </row>
    <row r="5" spans="1:12">
      <c r="A5" s="150"/>
      <c r="B5" s="150"/>
      <c r="C5" s="150"/>
      <c r="D5" s="150"/>
      <c r="E5" s="150"/>
      <c r="F5" s="150"/>
      <c r="G5" s="150"/>
      <c r="H5" s="150"/>
      <c r="I5" s="150"/>
      <c r="J5" s="150"/>
    </row>
    <row r="6" spans="1:12" ht="18">
      <c r="A6" s="71" t="s">
        <v>24</v>
      </c>
    </row>
    <row r="7" spans="1:12" ht="15.6">
      <c r="A7" s="76" t="s">
        <v>264</v>
      </c>
    </row>
    <row r="9" spans="1:12" ht="15.6">
      <c r="A9" s="70" t="s">
        <v>231</v>
      </c>
    </row>
    <row r="10" spans="1:12">
      <c r="A10" s="150" t="s">
        <v>275</v>
      </c>
      <c r="B10" s="150"/>
      <c r="C10" s="150"/>
      <c r="D10" s="150"/>
      <c r="E10" s="150"/>
      <c r="F10" s="150"/>
      <c r="G10" s="150"/>
      <c r="H10" s="150"/>
      <c r="I10" s="150"/>
      <c r="J10" s="150"/>
      <c r="K10" s="150"/>
    </row>
    <row r="11" spans="1:12">
      <c r="A11" s="150"/>
      <c r="B11" s="150"/>
      <c r="C11" s="150"/>
      <c r="D11" s="150"/>
      <c r="E11" s="150"/>
      <c r="F11" s="150"/>
      <c r="G11" s="150"/>
      <c r="H11" s="150"/>
      <c r="I11" s="150"/>
      <c r="J11" s="150"/>
      <c r="K11" s="150"/>
    </row>
    <row r="12" spans="1:12">
      <c r="A12" s="81"/>
      <c r="B12" s="81"/>
      <c r="C12" s="81"/>
      <c r="D12" s="81"/>
      <c r="E12" s="81"/>
      <c r="F12" s="81"/>
      <c r="G12" s="81"/>
      <c r="H12" s="81"/>
      <c r="I12" s="81"/>
      <c r="J12" s="81"/>
      <c r="K12" s="81"/>
    </row>
    <row r="13" spans="1:12" ht="15.6">
      <c r="A13" s="70" t="s">
        <v>232</v>
      </c>
    </row>
    <row r="14" spans="1:12">
      <c r="A14" t="s">
        <v>206</v>
      </c>
    </row>
    <row r="16" spans="1:12" ht="15.6">
      <c r="A16" s="70" t="s">
        <v>233</v>
      </c>
    </row>
    <row r="17" spans="1:10">
      <c r="A17" t="s">
        <v>207</v>
      </c>
    </row>
    <row r="19" spans="1:10" ht="15.6">
      <c r="A19" s="70" t="s">
        <v>265</v>
      </c>
    </row>
    <row r="20" spans="1:10">
      <c r="A20" t="s">
        <v>267</v>
      </c>
    </row>
    <row r="22" spans="1:10" ht="15.6">
      <c r="A22" s="70" t="s">
        <v>48</v>
      </c>
    </row>
    <row r="23" spans="1:10">
      <c r="A23" t="s">
        <v>268</v>
      </c>
    </row>
    <row r="24" spans="1:10">
      <c r="A24" s="157" t="s">
        <v>278</v>
      </c>
      <c r="B24" s="157"/>
      <c r="D24" s="157" t="s">
        <v>279</v>
      </c>
      <c r="E24" s="157"/>
      <c r="F24" s="157"/>
      <c r="G24" s="157"/>
      <c r="H24" s="157"/>
      <c r="I24" s="157"/>
    </row>
    <row r="25" spans="1:10">
      <c r="A25" s="75" t="s">
        <v>234</v>
      </c>
      <c r="B25" s="75" t="s">
        <v>147</v>
      </c>
      <c r="D25" s="75" t="s">
        <v>208</v>
      </c>
      <c r="E25" s="75" t="s">
        <v>213</v>
      </c>
      <c r="F25" s="75" t="s">
        <v>147</v>
      </c>
      <c r="G25" s="151" t="s">
        <v>218</v>
      </c>
      <c r="H25" s="151"/>
      <c r="I25" s="151"/>
    </row>
    <row r="26" spans="1:10">
      <c r="A26" s="74" t="s">
        <v>270</v>
      </c>
      <c r="B26" s="74" t="s">
        <v>2</v>
      </c>
      <c r="D26" s="74" t="s">
        <v>209</v>
      </c>
      <c r="E26" s="74">
        <v>90</v>
      </c>
      <c r="F26" s="74" t="str">
        <f>IF(E26&lt; 41,"C",IF(E26&lt; 71,"B","A"))</f>
        <v>A</v>
      </c>
      <c r="G26" s="155" t="s">
        <v>271</v>
      </c>
      <c r="H26" s="155"/>
      <c r="I26" s="155"/>
    </row>
    <row r="27" spans="1:10">
      <c r="A27" s="74" t="s">
        <v>235</v>
      </c>
      <c r="B27" s="74" t="s">
        <v>3</v>
      </c>
      <c r="D27" s="74" t="s">
        <v>210</v>
      </c>
      <c r="E27" s="74">
        <v>70</v>
      </c>
      <c r="F27" s="74" t="str">
        <f t="shared" ref="F27:F29" si="0">IF(E27&lt; 41,"C",IF(E27&lt; 71,"B","A"))</f>
        <v>B</v>
      </c>
      <c r="G27" s="155" t="s">
        <v>272</v>
      </c>
      <c r="H27" s="155"/>
      <c r="I27" s="155"/>
    </row>
    <row r="28" spans="1:10">
      <c r="A28" s="74" t="s">
        <v>269</v>
      </c>
      <c r="B28" s="74" t="s">
        <v>4</v>
      </c>
      <c r="D28" s="74" t="s">
        <v>211</v>
      </c>
      <c r="E28" s="74">
        <v>20</v>
      </c>
      <c r="F28" s="74" t="str">
        <f t="shared" si="0"/>
        <v>C</v>
      </c>
      <c r="G28" s="155" t="s">
        <v>273</v>
      </c>
      <c r="H28" s="155"/>
      <c r="I28" s="155"/>
    </row>
    <row r="29" spans="1:10">
      <c r="D29" s="74" t="s">
        <v>212</v>
      </c>
      <c r="E29" s="74">
        <v>41</v>
      </c>
      <c r="F29" s="74" t="str">
        <f t="shared" si="0"/>
        <v>B</v>
      </c>
      <c r="G29" s="155" t="s">
        <v>274</v>
      </c>
      <c r="H29" s="155"/>
      <c r="I29" s="155"/>
    </row>
    <row r="31" spans="1:10" ht="15.6">
      <c r="A31" s="70" t="s">
        <v>236</v>
      </c>
    </row>
    <row r="32" spans="1:10">
      <c r="A32" s="150" t="s">
        <v>277</v>
      </c>
      <c r="B32" s="150"/>
      <c r="C32" s="150"/>
      <c r="D32" s="150"/>
      <c r="E32" s="150"/>
      <c r="F32" s="150"/>
      <c r="G32" s="150"/>
      <c r="H32" s="150"/>
      <c r="I32" s="150"/>
      <c r="J32" s="150"/>
    </row>
    <row r="33" spans="1:10">
      <c r="A33" s="150"/>
      <c r="B33" s="150"/>
      <c r="C33" s="150"/>
      <c r="D33" s="150"/>
      <c r="E33" s="150"/>
      <c r="F33" s="150"/>
      <c r="G33" s="150"/>
      <c r="H33" s="150"/>
      <c r="I33" s="150"/>
      <c r="J33" s="150"/>
    </row>
    <row r="34" spans="1:10">
      <c r="A34" s="157" t="s">
        <v>278</v>
      </c>
      <c r="B34" s="157"/>
      <c r="D34" s="158" t="s">
        <v>279</v>
      </c>
      <c r="E34" s="159"/>
      <c r="F34" s="159"/>
      <c r="G34" s="160"/>
    </row>
    <row r="35" spans="1:10">
      <c r="A35" s="75" t="s">
        <v>280</v>
      </c>
      <c r="B35" s="75" t="s">
        <v>237</v>
      </c>
      <c r="D35" s="75" t="s">
        <v>220</v>
      </c>
      <c r="E35" s="75" t="s">
        <v>225</v>
      </c>
      <c r="F35" s="75" t="s">
        <v>280</v>
      </c>
      <c r="G35" s="84" t="s">
        <v>49</v>
      </c>
    </row>
    <row r="36" spans="1:10">
      <c r="A36" s="74" t="s">
        <v>2</v>
      </c>
      <c r="B36" s="80">
        <v>1000</v>
      </c>
      <c r="D36" s="74" t="s">
        <v>221</v>
      </c>
      <c r="E36" s="74" t="s">
        <v>226</v>
      </c>
      <c r="F36" s="77" t="s">
        <v>2</v>
      </c>
      <c r="G36" s="79" t="str">
        <f>IF(E36="AVP","$2,000",IF(E36="A","$500","$250"))</f>
        <v>$2,000</v>
      </c>
    </row>
    <row r="37" spans="1:10">
      <c r="A37" s="74" t="s">
        <v>3</v>
      </c>
      <c r="B37" s="80">
        <v>500</v>
      </c>
      <c r="D37" s="74" t="s">
        <v>222</v>
      </c>
      <c r="E37" s="74" t="s">
        <v>227</v>
      </c>
      <c r="F37" s="77" t="s">
        <v>2</v>
      </c>
      <c r="G37" s="79" t="str">
        <f t="shared" ref="G37:G39" si="1">IF(E37="AVP","$2,000",IF(E37="A","$500","$250"))</f>
        <v>$250</v>
      </c>
    </row>
    <row r="38" spans="1:10">
      <c r="A38" s="74" t="s">
        <v>4</v>
      </c>
      <c r="B38" s="80">
        <v>250</v>
      </c>
      <c r="D38" s="74" t="s">
        <v>223</v>
      </c>
      <c r="E38" s="74" t="s">
        <v>227</v>
      </c>
      <c r="F38" s="77" t="s">
        <v>3</v>
      </c>
      <c r="G38" s="79" t="str">
        <f t="shared" si="1"/>
        <v>$250</v>
      </c>
    </row>
    <row r="39" spans="1:10">
      <c r="D39" s="74" t="s">
        <v>224</v>
      </c>
      <c r="E39" s="74" t="s">
        <v>227</v>
      </c>
      <c r="F39" s="77" t="s">
        <v>4</v>
      </c>
      <c r="G39" s="79" t="str">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7" zoomScale="90" zoomScaleNormal="90" workbookViewId="0">
      <selection activeCell="E38" sqref="E38:E41"/>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72" t="s">
        <v>0</v>
      </c>
      <c r="B1" s="73"/>
      <c r="C1" s="73"/>
      <c r="D1" s="73"/>
      <c r="E1" s="73"/>
      <c r="F1" s="73"/>
      <c r="G1" s="73"/>
      <c r="H1" s="73"/>
      <c r="I1" s="73"/>
      <c r="J1" s="73"/>
      <c r="K1" s="73"/>
      <c r="L1" s="73"/>
    </row>
    <row r="2" spans="1:12" ht="15" thickTop="1"/>
    <row r="3" spans="1:12" ht="18">
      <c r="A3" s="71" t="s">
        <v>204</v>
      </c>
    </row>
    <row r="4" spans="1:12" ht="15" customHeight="1">
      <c r="A4" s="150" t="s">
        <v>284</v>
      </c>
      <c r="B4" s="150"/>
      <c r="C4" s="150"/>
      <c r="D4" s="150"/>
      <c r="E4" s="150"/>
      <c r="F4" s="150"/>
      <c r="G4" s="150"/>
      <c r="H4" s="150"/>
      <c r="I4" s="150"/>
      <c r="J4" s="150"/>
    </row>
    <row r="5" spans="1:12">
      <c r="A5" s="150"/>
      <c r="B5" s="150"/>
      <c r="C5" s="150"/>
      <c r="D5" s="150"/>
      <c r="E5" s="150"/>
      <c r="F5" s="150"/>
      <c r="G5" s="150"/>
      <c r="H5" s="150"/>
      <c r="I5" s="150"/>
      <c r="J5" s="150"/>
    </row>
    <row r="6" spans="1:12">
      <c r="A6" s="150"/>
      <c r="B6" s="150"/>
      <c r="C6" s="150"/>
      <c r="D6" s="150"/>
      <c r="E6" s="150"/>
      <c r="F6" s="150"/>
      <c r="G6" s="150"/>
      <c r="H6" s="150"/>
      <c r="I6" s="150"/>
      <c r="J6" s="150"/>
    </row>
    <row r="7" spans="1:12">
      <c r="A7" s="81"/>
      <c r="B7" s="81"/>
      <c r="C7" s="81"/>
      <c r="D7" s="81"/>
      <c r="E7" s="81"/>
      <c r="F7" s="81"/>
      <c r="G7" s="81"/>
      <c r="H7" s="81"/>
      <c r="I7" s="81"/>
      <c r="J7" s="81"/>
    </row>
    <row r="8" spans="1:12" ht="18">
      <c r="A8" s="71" t="s">
        <v>24</v>
      </c>
    </row>
    <row r="9" spans="1:12" ht="15.6">
      <c r="A9" s="76" t="s">
        <v>281</v>
      </c>
    </row>
    <row r="11" spans="1:12" ht="15.6">
      <c r="A11" s="70" t="s">
        <v>241</v>
      </c>
    </row>
    <row r="12" spans="1:12">
      <c r="A12" t="s">
        <v>242</v>
      </c>
    </row>
    <row r="14" spans="1:12" ht="15.6">
      <c r="A14" s="70" t="s">
        <v>243</v>
      </c>
    </row>
    <row r="15" spans="1:12">
      <c r="A15" t="s">
        <v>244</v>
      </c>
    </row>
    <row r="17" spans="1:10" ht="15.6">
      <c r="A17" s="70" t="s">
        <v>44</v>
      </c>
    </row>
    <row r="18" spans="1:10">
      <c r="A18" t="s">
        <v>282</v>
      </c>
    </row>
    <row r="19" spans="1:10">
      <c r="A19" s="75" t="s">
        <v>245</v>
      </c>
      <c r="B19" s="75" t="s">
        <v>246</v>
      </c>
      <c r="C19" s="75" t="s">
        <v>49</v>
      </c>
      <c r="D19" s="151" t="s">
        <v>218</v>
      </c>
      <c r="E19" s="151"/>
    </row>
    <row r="20" spans="1:10">
      <c r="A20" s="83">
        <v>1</v>
      </c>
      <c r="B20" s="83">
        <v>2</v>
      </c>
      <c r="C20" s="74" t="b">
        <f>OR(A20&gt;0,B20&gt;0)</f>
        <v>1</v>
      </c>
      <c r="D20" s="152" t="s">
        <v>283</v>
      </c>
      <c r="E20" s="154"/>
    </row>
    <row r="21" spans="1:10">
      <c r="A21" s="83">
        <v>1</v>
      </c>
      <c r="B21" s="83">
        <v>-2</v>
      </c>
      <c r="C21" s="74" t="b">
        <f>OR(A21&gt;0,B21&gt;0)</f>
        <v>1</v>
      </c>
      <c r="D21" s="152" t="s">
        <v>1050</v>
      </c>
      <c r="E21" s="154"/>
    </row>
    <row r="22" spans="1:10">
      <c r="A22" s="83">
        <v>-1</v>
      </c>
      <c r="B22" s="83">
        <v>-2</v>
      </c>
      <c r="C22" s="74" t="b">
        <f>OR(A22&gt;0,B22&gt;0)</f>
        <v>0</v>
      </c>
      <c r="D22" s="152" t="s">
        <v>1051</v>
      </c>
      <c r="E22" s="154"/>
    </row>
    <row r="23" spans="1:10" ht="15.6">
      <c r="A23" s="70"/>
    </row>
    <row r="24" spans="1:10" ht="15.6">
      <c r="A24" s="70" t="s">
        <v>78</v>
      </c>
    </row>
    <row r="25" spans="1:10">
      <c r="A25" s="150" t="s">
        <v>285</v>
      </c>
      <c r="B25" s="150"/>
      <c r="C25" s="150"/>
      <c r="D25" s="150"/>
      <c r="E25" s="150"/>
      <c r="F25" s="150"/>
      <c r="G25" s="150"/>
      <c r="H25" s="150"/>
      <c r="I25" s="150"/>
      <c r="J25" s="150"/>
    </row>
    <row r="26" spans="1:10">
      <c r="A26" s="150"/>
      <c r="B26" s="150"/>
      <c r="C26" s="150"/>
      <c r="D26" s="150"/>
      <c r="E26" s="150"/>
      <c r="F26" s="150"/>
      <c r="G26" s="150"/>
      <c r="H26" s="150"/>
      <c r="I26" s="150"/>
      <c r="J26" s="150"/>
    </row>
    <row r="27" spans="1:10">
      <c r="A27" s="75" t="s">
        <v>208</v>
      </c>
      <c r="B27" s="75" t="s">
        <v>250</v>
      </c>
      <c r="C27" s="75" t="s">
        <v>251</v>
      </c>
      <c r="D27" s="75" t="s">
        <v>254</v>
      </c>
      <c r="E27" s="151" t="s">
        <v>218</v>
      </c>
      <c r="F27" s="151"/>
      <c r="G27" s="151"/>
      <c r="H27" s="151"/>
      <c r="I27" s="151"/>
    </row>
    <row r="28" spans="1:10">
      <c r="A28" s="74" t="s">
        <v>209</v>
      </c>
      <c r="B28" s="74" t="s">
        <v>252</v>
      </c>
      <c r="C28" s="74" t="s">
        <v>252</v>
      </c>
      <c r="D28" s="74" t="str">
        <f>IF(OR(B28="FAIL",C28="FAIL"),"FAIL","PASS")</f>
        <v>PASS</v>
      </c>
      <c r="E28" s="155" t="s">
        <v>286</v>
      </c>
      <c r="F28" s="155"/>
      <c r="G28" s="155"/>
      <c r="H28" s="155"/>
      <c r="I28" s="155"/>
    </row>
    <row r="29" spans="1:10">
      <c r="A29" s="74" t="s">
        <v>210</v>
      </c>
      <c r="B29" s="74" t="s">
        <v>252</v>
      </c>
      <c r="C29" s="74" t="s">
        <v>253</v>
      </c>
      <c r="D29" s="74" t="str">
        <f t="shared" ref="D29:D31" si="0">IF(OR(B29="FAIL",C29="FAIL"),"FAIL","PASS")</f>
        <v>FAIL</v>
      </c>
      <c r="E29" s="155" t="s">
        <v>287</v>
      </c>
      <c r="F29" s="155"/>
      <c r="G29" s="155"/>
      <c r="H29" s="155"/>
      <c r="I29" s="155"/>
    </row>
    <row r="30" spans="1:10">
      <c r="A30" s="74" t="s">
        <v>211</v>
      </c>
      <c r="B30" s="74" t="s">
        <v>253</v>
      </c>
      <c r="C30" s="74" t="s">
        <v>252</v>
      </c>
      <c r="D30" s="74" t="str">
        <f t="shared" si="0"/>
        <v>FAIL</v>
      </c>
      <c r="E30" s="155" t="s">
        <v>288</v>
      </c>
      <c r="F30" s="155"/>
      <c r="G30" s="155"/>
      <c r="H30" s="155"/>
      <c r="I30" s="155"/>
    </row>
    <row r="31" spans="1:10">
      <c r="A31" s="74" t="s">
        <v>212</v>
      </c>
      <c r="B31" s="74" t="s">
        <v>252</v>
      </c>
      <c r="C31" s="74" t="s">
        <v>252</v>
      </c>
      <c r="D31" s="74" t="str">
        <f t="shared" si="0"/>
        <v>PASS</v>
      </c>
      <c r="E31" s="155" t="s">
        <v>289</v>
      </c>
      <c r="F31" s="155"/>
      <c r="G31" s="155"/>
      <c r="H31" s="155"/>
      <c r="I31" s="155"/>
    </row>
    <row r="34" spans="1:10" ht="15.6">
      <c r="A34" s="70" t="s">
        <v>236</v>
      </c>
    </row>
    <row r="35" spans="1:10" ht="15" customHeight="1">
      <c r="A35" s="150" t="s">
        <v>1048</v>
      </c>
      <c r="B35" s="150"/>
      <c r="C35" s="150"/>
      <c r="D35" s="150"/>
      <c r="E35" s="150"/>
      <c r="F35" s="150"/>
      <c r="G35" s="150"/>
      <c r="H35" s="150"/>
      <c r="I35" s="150"/>
      <c r="J35" s="150"/>
    </row>
    <row r="36" spans="1:10">
      <c r="A36" s="150"/>
      <c r="B36" s="150"/>
      <c r="C36" s="150"/>
      <c r="D36" s="150"/>
      <c r="E36" s="150"/>
      <c r="F36" s="150"/>
      <c r="G36" s="150"/>
      <c r="H36" s="150"/>
      <c r="I36" s="150"/>
      <c r="J36" s="150"/>
    </row>
    <row r="37" spans="1:10" ht="37.5" customHeight="1">
      <c r="A37" s="85" t="s">
        <v>220</v>
      </c>
      <c r="B37" s="85" t="s">
        <v>225</v>
      </c>
      <c r="C37" s="85" t="s">
        <v>153</v>
      </c>
      <c r="D37" s="78" t="s">
        <v>259</v>
      </c>
      <c r="E37" s="78" t="s">
        <v>262</v>
      </c>
    </row>
    <row r="38" spans="1:10">
      <c r="A38" s="74" t="s">
        <v>221</v>
      </c>
      <c r="B38" s="74" t="s">
        <v>226</v>
      </c>
      <c r="C38" s="82">
        <v>51</v>
      </c>
      <c r="D38" s="82" t="s">
        <v>260</v>
      </c>
      <c r="E38" s="79" t="str">
        <f>IF(OR(C38&gt;50,D38="YES"),"Yes","NO")</f>
        <v>Yes</v>
      </c>
    </row>
    <row r="39" spans="1:10">
      <c r="A39" s="74" t="s">
        <v>222</v>
      </c>
      <c r="B39" s="74" t="s">
        <v>227</v>
      </c>
      <c r="C39" s="82">
        <v>49</v>
      </c>
      <c r="D39" s="82" t="s">
        <v>261</v>
      </c>
      <c r="E39" s="79" t="str">
        <f t="shared" ref="E39:E41" si="1">IF(OR(C39&gt;50,D39="YES"),"Yes","NO")</f>
        <v>NO</v>
      </c>
    </row>
    <row r="40" spans="1:10">
      <c r="A40" s="74" t="s">
        <v>223</v>
      </c>
      <c r="B40" s="74" t="s">
        <v>227</v>
      </c>
      <c r="C40" s="82">
        <v>49</v>
      </c>
      <c r="D40" s="82" t="s">
        <v>260</v>
      </c>
      <c r="E40" s="79" t="str">
        <f t="shared" si="1"/>
        <v>Yes</v>
      </c>
    </row>
    <row r="41" spans="1:10">
      <c r="A41" s="74" t="s">
        <v>224</v>
      </c>
      <c r="B41" s="74" t="s">
        <v>227</v>
      </c>
      <c r="C41" s="82">
        <v>75</v>
      </c>
      <c r="D41" s="82" t="s">
        <v>260</v>
      </c>
      <c r="E41" s="79" t="str">
        <f t="shared" si="1"/>
        <v>Yes</v>
      </c>
    </row>
  </sheetData>
  <mergeCells count="12">
    <mergeCell ref="E29:I29"/>
    <mergeCell ref="E30:I30"/>
    <mergeCell ref="E31:I31"/>
    <mergeCell ref="A35:J36"/>
    <mergeCell ref="D20:E20"/>
    <mergeCell ref="D21:E21"/>
    <mergeCell ref="D22:E22"/>
    <mergeCell ref="A4:J6"/>
    <mergeCell ref="D19:E19"/>
    <mergeCell ref="A25:J26"/>
    <mergeCell ref="E27:I27"/>
    <mergeCell ref="E28:I28"/>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10" zoomScale="90" zoomScaleNormal="90" workbookViewId="0">
      <selection activeCell="D39" sqref="D39:D42"/>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8" max="8" width="10" customWidth="1"/>
    <col min="10" max="10" width="10.109375" customWidth="1"/>
    <col min="11" max="11" width="11.33203125" customWidth="1"/>
    <col min="12" max="12" width="10.109375" customWidth="1"/>
  </cols>
  <sheetData>
    <row r="1" spans="1:12" ht="31.8" thickBot="1">
      <c r="A1" s="161" t="s">
        <v>159</v>
      </c>
      <c r="B1" s="161"/>
      <c r="C1" s="73"/>
      <c r="D1" s="73"/>
      <c r="E1" s="73"/>
      <c r="F1" s="73"/>
      <c r="G1" s="73"/>
      <c r="H1" s="73"/>
      <c r="I1" s="73"/>
      <c r="J1" s="73"/>
      <c r="K1" s="73"/>
      <c r="L1" s="73"/>
    </row>
    <row r="2" spans="1:12" ht="15" thickTop="1"/>
    <row r="3" spans="1:12" ht="18">
      <c r="A3" s="71" t="s">
        <v>204</v>
      </c>
    </row>
    <row r="4" spans="1:12">
      <c r="A4" s="150" t="s">
        <v>297</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
      <c r="A7" s="71" t="s">
        <v>24</v>
      </c>
    </row>
    <row r="8" spans="1:12" ht="15.6">
      <c r="A8" s="76" t="s">
        <v>293</v>
      </c>
    </row>
    <row r="10" spans="1:12" ht="15.6">
      <c r="A10" s="70" t="s">
        <v>241</v>
      </c>
    </row>
    <row r="11" spans="1:12">
      <c r="A11" t="s">
        <v>294</v>
      </c>
    </row>
    <row r="13" spans="1:12" ht="15.6">
      <c r="A13" s="70" t="s">
        <v>296</v>
      </c>
    </row>
    <row r="14" spans="1:12">
      <c r="A14" t="s">
        <v>295</v>
      </c>
    </row>
    <row r="16" spans="1:12" ht="15.6">
      <c r="A16" s="70" t="s">
        <v>44</v>
      </c>
    </row>
    <row r="17" spans="1:13">
      <c r="A17" t="s">
        <v>298</v>
      </c>
    </row>
    <row r="18" spans="1:13">
      <c r="A18" s="75" t="s">
        <v>305</v>
      </c>
      <c r="B18" s="75" t="s">
        <v>306</v>
      </c>
      <c r="C18" s="151" t="s">
        <v>301</v>
      </c>
      <c r="D18" s="151"/>
      <c r="E18" s="166" t="s">
        <v>302</v>
      </c>
      <c r="F18" s="167"/>
      <c r="G18" s="167"/>
      <c r="H18" s="168"/>
    </row>
    <row r="19" spans="1:13">
      <c r="A19" s="83">
        <v>1</v>
      </c>
      <c r="B19" s="83">
        <v>2</v>
      </c>
      <c r="C19" s="86">
        <f>A19/B19</f>
        <v>0.5</v>
      </c>
      <c r="D19" s="74" t="s">
        <v>299</v>
      </c>
      <c r="E19" s="74">
        <f>IFERROR(A19/B19,999)</f>
        <v>0.5</v>
      </c>
      <c r="F19" s="162" t="s">
        <v>303</v>
      </c>
      <c r="G19" s="163"/>
      <c r="H19" s="164"/>
    </row>
    <row r="20" spans="1:13">
      <c r="A20" s="83">
        <v>1</v>
      </c>
      <c r="B20" s="83">
        <v>0</v>
      </c>
      <c r="C20" s="88" t="e">
        <f>A20/B20</f>
        <v>#DIV/0!</v>
      </c>
      <c r="D20" s="74" t="s">
        <v>300</v>
      </c>
      <c r="E20" s="87">
        <f>IFERROR(A20/B20,999)</f>
        <v>999</v>
      </c>
      <c r="F20" s="165" t="s">
        <v>304</v>
      </c>
      <c r="G20" s="165"/>
      <c r="H20" s="165"/>
    </row>
    <row r="21" spans="1:13" ht="15.6">
      <c r="A21" s="70"/>
    </row>
    <row r="22" spans="1:13" ht="15.6">
      <c r="A22" s="70" t="s">
        <v>156</v>
      </c>
    </row>
    <row r="23" spans="1:13">
      <c r="A23" s="150" t="s">
        <v>316</v>
      </c>
      <c r="B23" s="150"/>
      <c r="C23" s="150"/>
      <c r="D23" s="150"/>
      <c r="E23" s="150"/>
      <c r="F23" s="150"/>
      <c r="G23" s="150"/>
      <c r="H23" s="150"/>
      <c r="I23" s="150"/>
      <c r="J23" s="150"/>
    </row>
    <row r="24" spans="1:13" ht="15.75" customHeight="1">
      <c r="A24" s="150"/>
      <c r="B24" s="150"/>
      <c r="C24" s="150"/>
      <c r="D24" s="150"/>
      <c r="E24" s="150"/>
      <c r="F24" s="150"/>
      <c r="G24" s="150"/>
      <c r="H24" s="150"/>
      <c r="I24" s="150"/>
      <c r="J24" s="150"/>
    </row>
    <row r="25" spans="1:13" ht="15.6">
      <c r="A25" s="70"/>
    </row>
    <row r="26" spans="1:13" ht="15.6">
      <c r="A26" s="70" t="s">
        <v>78</v>
      </c>
    </row>
    <row r="27" spans="1:13">
      <c r="A27" t="s">
        <v>298</v>
      </c>
    </row>
    <row r="28" spans="1:13">
      <c r="A28" s="75" t="s">
        <v>305</v>
      </c>
      <c r="B28" s="75" t="s">
        <v>306</v>
      </c>
      <c r="C28" s="151" t="s">
        <v>301</v>
      </c>
      <c r="D28" s="151"/>
      <c r="E28" s="151" t="s">
        <v>302</v>
      </c>
      <c r="F28" s="151"/>
      <c r="G28" s="151"/>
      <c r="H28" s="151"/>
      <c r="I28" s="151"/>
    </row>
    <row r="29" spans="1:13">
      <c r="A29" s="83">
        <v>1</v>
      </c>
      <c r="B29" s="83">
        <v>2</v>
      </c>
      <c r="C29" s="86">
        <f>A29*B29</f>
        <v>2</v>
      </c>
      <c r="D29" s="74" t="s">
        <v>308</v>
      </c>
      <c r="E29" s="74">
        <f>IFERROR(A29*B29,"DATA IS WRONG")</f>
        <v>2</v>
      </c>
      <c r="F29" s="155" t="s">
        <v>312</v>
      </c>
      <c r="G29" s="155"/>
      <c r="H29" s="155"/>
      <c r="I29" s="155"/>
    </row>
    <row r="30" spans="1:13">
      <c r="A30" s="83">
        <v>1</v>
      </c>
      <c r="B30" s="83">
        <v>1</v>
      </c>
      <c r="C30" s="86">
        <f t="shared" ref="C30:C32" si="0">A30*B30</f>
        <v>1</v>
      </c>
      <c r="D30" s="74" t="s">
        <v>309</v>
      </c>
      <c r="E30" s="74">
        <f t="shared" ref="E30:E32" si="1">IFERROR(A30*B30,"DATA IS WRONG")</f>
        <v>1</v>
      </c>
      <c r="F30" s="155" t="s">
        <v>313</v>
      </c>
      <c r="G30" s="155"/>
      <c r="H30" s="155"/>
      <c r="I30" s="155"/>
    </row>
    <row r="31" spans="1:13">
      <c r="A31" s="83">
        <v>1</v>
      </c>
      <c r="B31" s="83" t="s">
        <v>307</v>
      </c>
      <c r="C31" s="88" t="e">
        <f t="shared" si="0"/>
        <v>#VALUE!</v>
      </c>
      <c r="D31" s="74" t="s">
        <v>310</v>
      </c>
      <c r="E31" s="87" t="str">
        <f t="shared" si="1"/>
        <v>DATA IS WRONG</v>
      </c>
      <c r="F31" s="155" t="s">
        <v>314</v>
      </c>
      <c r="G31" s="155"/>
      <c r="H31" s="155"/>
      <c r="I31" s="155"/>
    </row>
    <row r="32" spans="1:13">
      <c r="A32" s="83">
        <v>5</v>
      </c>
      <c r="B32" s="83" t="s">
        <v>307</v>
      </c>
      <c r="C32" s="88" t="e">
        <f t="shared" si="0"/>
        <v>#VALUE!</v>
      </c>
      <c r="D32" s="74" t="s">
        <v>311</v>
      </c>
      <c r="E32" s="87" t="str">
        <f t="shared" si="1"/>
        <v>DATA IS WRONG</v>
      </c>
      <c r="F32" s="155" t="s">
        <v>315</v>
      </c>
      <c r="G32" s="155"/>
      <c r="H32" s="155"/>
      <c r="I32" s="155"/>
      <c r="K32" s="157" t="s">
        <v>317</v>
      </c>
      <c r="L32" s="157"/>
      <c r="M32" s="157"/>
    </row>
    <row r="33" spans="1:13" ht="15.6">
      <c r="A33" s="70"/>
      <c r="K33" s="157"/>
      <c r="L33" s="157"/>
      <c r="M33" s="157"/>
    </row>
    <row r="34" spans="1:13" ht="15.6">
      <c r="A34" s="70"/>
      <c r="K34" s="157"/>
      <c r="L34" s="157"/>
      <c r="M34" s="157"/>
    </row>
    <row r="35" spans="1:13" ht="15.6">
      <c r="A35" s="70" t="s">
        <v>236</v>
      </c>
    </row>
    <row r="36" spans="1:13" ht="15" customHeight="1">
      <c r="A36" s="150" t="s">
        <v>320</v>
      </c>
      <c r="B36" s="150"/>
      <c r="C36" s="150"/>
      <c r="D36" s="150"/>
      <c r="E36" s="150"/>
      <c r="F36" s="150"/>
      <c r="G36" s="150"/>
      <c r="H36" s="150"/>
      <c r="I36" s="150"/>
      <c r="J36" s="150"/>
    </row>
    <row r="37" spans="1:13">
      <c r="A37" s="150"/>
      <c r="B37" s="150"/>
      <c r="C37" s="150"/>
      <c r="D37" s="150"/>
      <c r="E37" s="150"/>
      <c r="F37" s="150"/>
      <c r="G37" s="150"/>
      <c r="H37" s="150"/>
      <c r="I37" s="150"/>
      <c r="J37" s="150"/>
    </row>
    <row r="38" spans="1:13" ht="37.5" customHeight="1">
      <c r="A38" s="85" t="s">
        <v>220</v>
      </c>
      <c r="B38" s="85" t="s">
        <v>225</v>
      </c>
      <c r="C38" s="78" t="s">
        <v>318</v>
      </c>
      <c r="D38" s="78" t="s">
        <v>327</v>
      </c>
    </row>
    <row r="39" spans="1:13">
      <c r="A39" s="74" t="s">
        <v>221</v>
      </c>
      <c r="B39" s="74" t="s">
        <v>226</v>
      </c>
      <c r="C39" s="89">
        <v>80000</v>
      </c>
      <c r="D39" s="148">
        <f>IFERROR(C39/12,"ERROR IN SALARY")</f>
        <v>6666.666666666667</v>
      </c>
    </row>
    <row r="40" spans="1:13">
      <c r="A40" s="74" t="s">
        <v>222</v>
      </c>
      <c r="B40" s="74" t="s">
        <v>227</v>
      </c>
      <c r="C40" s="89">
        <v>50000</v>
      </c>
      <c r="D40" s="148">
        <f t="shared" ref="D40:D42" si="2">IFERROR(C40/12,"ERROR IN SALARY")</f>
        <v>4166.666666666667</v>
      </c>
    </row>
    <row r="41" spans="1:13">
      <c r="A41" s="74" t="s">
        <v>223</v>
      </c>
      <c r="B41" s="74" t="s">
        <v>227</v>
      </c>
      <c r="C41" s="82" t="s">
        <v>319</v>
      </c>
      <c r="D41" s="148" t="str">
        <f t="shared" si="2"/>
        <v>ERROR IN SALARY</v>
      </c>
    </row>
    <row r="42" spans="1:13">
      <c r="A42" s="74" t="s">
        <v>224</v>
      </c>
      <c r="B42" s="74" t="s">
        <v>227</v>
      </c>
      <c r="C42" s="89">
        <v>40000</v>
      </c>
      <c r="D42" s="148">
        <f t="shared" si="2"/>
        <v>3333.3333333333335</v>
      </c>
    </row>
  </sheetData>
  <mergeCells count="15">
    <mergeCell ref="K32:M34"/>
    <mergeCell ref="C28:D28"/>
    <mergeCell ref="F29:I29"/>
    <mergeCell ref="F30:I30"/>
    <mergeCell ref="F31:I31"/>
    <mergeCell ref="F32:I32"/>
    <mergeCell ref="A36:J37"/>
    <mergeCell ref="A1:B1"/>
    <mergeCell ref="C18:D18"/>
    <mergeCell ref="A4:J5"/>
    <mergeCell ref="F19:H19"/>
    <mergeCell ref="F20:H20"/>
    <mergeCell ref="E18:H18"/>
    <mergeCell ref="A23:J24"/>
    <mergeCell ref="E28:I28"/>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zoomScale="90" zoomScaleNormal="90" workbookViewId="0">
      <selection activeCell="D27" sqref="D27:D30"/>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8" max="8" width="10" customWidth="1"/>
    <col min="10" max="10" width="10.109375" customWidth="1"/>
    <col min="11" max="11" width="11.33203125" customWidth="1"/>
    <col min="12" max="12" width="10.109375" customWidth="1"/>
  </cols>
  <sheetData>
    <row r="1" spans="1:12" ht="31.8" thickBot="1">
      <c r="A1" s="161" t="s">
        <v>160</v>
      </c>
      <c r="B1" s="161"/>
      <c r="C1" s="73"/>
      <c r="D1" s="73"/>
      <c r="E1" s="73"/>
      <c r="F1" s="73"/>
      <c r="G1" s="73"/>
      <c r="H1" s="73"/>
      <c r="I1" s="73"/>
      <c r="J1" s="73"/>
      <c r="K1" s="73"/>
      <c r="L1" s="73"/>
    </row>
    <row r="2" spans="1:12" ht="15" thickTop="1"/>
    <row r="3" spans="1:12" ht="18">
      <c r="A3" s="71" t="s">
        <v>204</v>
      </c>
    </row>
    <row r="4" spans="1:12">
      <c r="A4" s="150" t="s">
        <v>321</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
      <c r="A7" s="71" t="s">
        <v>24</v>
      </c>
    </row>
    <row r="8" spans="1:12" ht="15.6">
      <c r="A8" s="76" t="s">
        <v>322</v>
      </c>
    </row>
    <row r="10" spans="1:12" ht="15.6">
      <c r="A10" s="70" t="s">
        <v>241</v>
      </c>
    </row>
    <row r="11" spans="1:12">
      <c r="A11" t="s">
        <v>294</v>
      </c>
    </row>
    <row r="13" spans="1:12" ht="15.6">
      <c r="A13" s="70" t="s">
        <v>296</v>
      </c>
    </row>
    <row r="14" spans="1:12">
      <c r="A14" t="s">
        <v>323</v>
      </c>
    </row>
    <row r="16" spans="1:12" ht="15.6">
      <c r="A16" s="70" t="s">
        <v>44</v>
      </c>
    </row>
    <row r="17" spans="1:10">
      <c r="A17" t="s">
        <v>298</v>
      </c>
    </row>
    <row r="18" spans="1:10">
      <c r="A18" s="75" t="s">
        <v>305</v>
      </c>
      <c r="B18" s="151" t="s">
        <v>302</v>
      </c>
      <c r="C18" s="151"/>
      <c r="D18" s="151"/>
    </row>
    <row r="19" spans="1:10" ht="15" customHeight="1">
      <c r="A19" s="83">
        <v>1</v>
      </c>
      <c r="B19" s="74">
        <f>_xlfn.IFNA(A19,9999)</f>
        <v>1</v>
      </c>
      <c r="C19" s="155" t="s">
        <v>325</v>
      </c>
      <c r="D19" s="155"/>
      <c r="F19" s="157" t="s">
        <v>326</v>
      </c>
      <c r="G19" s="157"/>
      <c r="H19" s="157"/>
    </row>
    <row r="20" spans="1:10">
      <c r="A20" s="90" t="e">
        <v>#N/A</v>
      </c>
      <c r="B20" s="87">
        <f>_xlfn.IFNA(A20,9999)</f>
        <v>9999</v>
      </c>
      <c r="C20" s="155" t="s">
        <v>324</v>
      </c>
      <c r="D20" s="155"/>
      <c r="F20" s="157"/>
      <c r="G20" s="157"/>
      <c r="H20" s="157"/>
    </row>
    <row r="21" spans="1:10" ht="15.6">
      <c r="A21" s="70"/>
      <c r="F21" s="157"/>
      <c r="G21" s="157"/>
      <c r="H21" s="157"/>
    </row>
    <row r="22" spans="1:10" ht="15.6">
      <c r="A22" s="70"/>
    </row>
    <row r="23" spans="1:10" ht="15.6">
      <c r="A23" s="70" t="s">
        <v>236</v>
      </c>
    </row>
    <row r="24" spans="1:10" ht="15" customHeight="1">
      <c r="A24" s="150" t="s">
        <v>328</v>
      </c>
      <c r="B24" s="150"/>
      <c r="C24" s="150"/>
      <c r="D24" s="150"/>
      <c r="E24" s="150"/>
      <c r="F24" s="150"/>
      <c r="G24" s="150"/>
      <c r="H24" s="150"/>
      <c r="I24" s="150"/>
      <c r="J24" s="150"/>
    </row>
    <row r="25" spans="1:10">
      <c r="A25" s="150"/>
      <c r="B25" s="150"/>
      <c r="C25" s="150"/>
      <c r="D25" s="150"/>
      <c r="E25" s="150"/>
      <c r="F25" s="150"/>
      <c r="G25" s="150"/>
      <c r="H25" s="150"/>
      <c r="I25" s="150"/>
      <c r="J25" s="150"/>
    </row>
    <row r="26" spans="1:10" ht="37.5" customHeight="1">
      <c r="A26" s="85" t="s">
        <v>220</v>
      </c>
      <c r="B26" s="85" t="s">
        <v>225</v>
      </c>
      <c r="C26" s="78" t="s">
        <v>318</v>
      </c>
      <c r="D26" s="78" t="s">
        <v>327</v>
      </c>
    </row>
    <row r="27" spans="1:10">
      <c r="A27" s="74" t="s">
        <v>221</v>
      </c>
      <c r="B27" s="74" t="s">
        <v>226</v>
      </c>
      <c r="C27" s="89">
        <v>80000</v>
      </c>
      <c r="D27" s="149">
        <f>_xlfn.IFNA(C27/12,"ERROR IN SALARY")</f>
        <v>6666.666666666667</v>
      </c>
    </row>
    <row r="28" spans="1:10">
      <c r="A28" s="74" t="s">
        <v>222</v>
      </c>
      <c r="B28" s="74" t="s">
        <v>227</v>
      </c>
      <c r="C28" s="89">
        <v>50000</v>
      </c>
      <c r="D28" s="149">
        <f t="shared" ref="D28:D30" si="0">_xlfn.IFNA(C28/12,"ERROR IN SALARY")</f>
        <v>4166.666666666667</v>
      </c>
    </row>
    <row r="29" spans="1:10">
      <c r="A29" s="74" t="s">
        <v>223</v>
      </c>
      <c r="B29" s="74" t="s">
        <v>227</v>
      </c>
      <c r="C29" s="82" t="e">
        <v>#N/A</v>
      </c>
      <c r="D29" s="149" t="str">
        <f t="shared" si="0"/>
        <v>ERROR IN SALARY</v>
      </c>
    </row>
    <row r="30" spans="1:10">
      <c r="A30" s="74" t="s">
        <v>224</v>
      </c>
      <c r="B30" s="74" t="s">
        <v>227</v>
      </c>
      <c r="C30" s="89">
        <v>40000</v>
      </c>
      <c r="D30" s="149">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zoomScale="90" zoomScaleNormal="90" workbookViewId="0">
      <selection activeCell="C29" sqref="C29:C32"/>
    </sheetView>
  </sheetViews>
  <sheetFormatPr defaultRowHeight="14.4"/>
  <cols>
    <col min="1" max="1" width="11" customWidth="1"/>
    <col min="2" max="2" width="12.88671875"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156" t="s">
        <v>161</v>
      </c>
      <c r="B1" s="156"/>
      <c r="C1" s="73"/>
      <c r="D1" s="73"/>
      <c r="E1" s="73"/>
      <c r="F1" s="73"/>
      <c r="G1" s="73"/>
      <c r="H1" s="73"/>
      <c r="I1" s="73"/>
      <c r="J1" s="73"/>
      <c r="K1" s="73"/>
      <c r="L1" s="73"/>
    </row>
    <row r="2" spans="1:12" ht="15" thickTop="1"/>
    <row r="3" spans="1:12" ht="18">
      <c r="A3" s="71" t="s">
        <v>204</v>
      </c>
    </row>
    <row r="4" spans="1:12">
      <c r="A4" s="150" t="s">
        <v>338</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
      <c r="A7" s="71" t="s">
        <v>24</v>
      </c>
    </row>
    <row r="8" spans="1:12" ht="15.6">
      <c r="A8" s="76" t="s">
        <v>329</v>
      </c>
    </row>
    <row r="10" spans="1:12" ht="15.6">
      <c r="A10" s="70" t="s">
        <v>330</v>
      </c>
    </row>
    <row r="11" spans="1:12">
      <c r="A11" t="s">
        <v>332</v>
      </c>
    </row>
    <row r="13" spans="1:12" ht="15.6">
      <c r="A13" s="70" t="s">
        <v>331</v>
      </c>
    </row>
    <row r="14" spans="1:12">
      <c r="A14" t="s">
        <v>333</v>
      </c>
    </row>
    <row r="16" spans="1:12" ht="15.6">
      <c r="A16" s="70" t="s">
        <v>44</v>
      </c>
    </row>
    <row r="17" spans="1:10">
      <c r="A17" t="s">
        <v>247</v>
      </c>
    </row>
    <row r="18" spans="1:10">
      <c r="A18" s="75" t="s">
        <v>305</v>
      </c>
      <c r="B18" s="75" t="s">
        <v>306</v>
      </c>
      <c r="C18" s="75" t="s">
        <v>49</v>
      </c>
      <c r="D18" s="151" t="s">
        <v>218</v>
      </c>
      <c r="E18" s="151"/>
    </row>
    <row r="19" spans="1:10">
      <c r="A19" s="83" t="s">
        <v>334</v>
      </c>
      <c r="B19" s="83" t="s">
        <v>334</v>
      </c>
      <c r="C19" s="74" t="b">
        <f>EXACT(A19,B19)</f>
        <v>1</v>
      </c>
      <c r="D19" s="152" t="s">
        <v>336</v>
      </c>
      <c r="E19" s="154"/>
    </row>
    <row r="20" spans="1:10">
      <c r="A20" s="83" t="s">
        <v>334</v>
      </c>
      <c r="B20" s="83" t="s">
        <v>335</v>
      </c>
      <c r="C20" s="74" t="b">
        <f>EXACT(A20,B20)</f>
        <v>0</v>
      </c>
      <c r="D20" s="152" t="s">
        <v>337</v>
      </c>
      <c r="E20" s="154"/>
    </row>
    <row r="21" spans="1:10" ht="15.6">
      <c r="A21" s="70"/>
    </row>
    <row r="22" spans="1:10" ht="15.6">
      <c r="A22" s="70" t="s">
        <v>156</v>
      </c>
    </row>
    <row r="23" spans="1:10">
      <c r="A23" s="150" t="s">
        <v>343</v>
      </c>
      <c r="B23" s="150"/>
      <c r="C23" s="150"/>
      <c r="D23" s="150"/>
      <c r="E23" s="150"/>
      <c r="F23" s="150"/>
      <c r="G23" s="150"/>
      <c r="H23" s="150"/>
      <c r="I23" s="150"/>
      <c r="J23" s="150"/>
    </row>
    <row r="24" spans="1:10" ht="15.75" customHeight="1">
      <c r="A24" s="150"/>
      <c r="B24" s="150"/>
      <c r="C24" s="150"/>
      <c r="D24" s="150"/>
      <c r="E24" s="150"/>
      <c r="F24" s="150"/>
      <c r="G24" s="150"/>
      <c r="H24" s="150"/>
      <c r="I24" s="150"/>
      <c r="J24" s="150"/>
    </row>
    <row r="25" spans="1:10" ht="15.6">
      <c r="A25" s="70"/>
    </row>
    <row r="26" spans="1:10" ht="15.6">
      <c r="A26" s="70" t="s">
        <v>236</v>
      </c>
    </row>
    <row r="27" spans="1:10" ht="15" customHeight="1">
      <c r="A27" s="150" t="s">
        <v>342</v>
      </c>
      <c r="B27" s="150"/>
      <c r="C27" s="150"/>
      <c r="D27" s="150"/>
      <c r="E27" s="150"/>
      <c r="F27" s="150"/>
      <c r="G27" s="150"/>
      <c r="H27" s="150"/>
      <c r="I27" s="150"/>
      <c r="J27" s="150"/>
    </row>
    <row r="28" spans="1:10">
      <c r="A28" s="85" t="s">
        <v>305</v>
      </c>
      <c r="B28" s="85" t="s">
        <v>306</v>
      </c>
      <c r="C28" s="85" t="s">
        <v>339</v>
      </c>
    </row>
    <row r="29" spans="1:10">
      <c r="A29" s="74" t="s">
        <v>340</v>
      </c>
      <c r="B29" s="74" t="s">
        <v>341</v>
      </c>
      <c r="C29" s="82" t="b">
        <f>D29=EXACT(A29,B29)</f>
        <v>1</v>
      </c>
    </row>
    <row r="30" spans="1:10">
      <c r="A30" s="74" t="s">
        <v>340</v>
      </c>
      <c r="B30" s="74" t="s">
        <v>340</v>
      </c>
      <c r="C30" s="82" t="b">
        <f t="shared" ref="C30:C32" si="0">D30=EXACT(A30,B30)</f>
        <v>0</v>
      </c>
    </row>
    <row r="31" spans="1:10">
      <c r="A31" s="74">
        <v>1234</v>
      </c>
      <c r="B31" s="74">
        <v>1234</v>
      </c>
      <c r="C31" s="82" t="b">
        <f t="shared" si="0"/>
        <v>0</v>
      </c>
    </row>
    <row r="32" spans="1:10">
      <c r="A32" s="74">
        <v>1.1000000000000001</v>
      </c>
      <c r="B32" s="74">
        <v>1.101</v>
      </c>
      <c r="C32" s="82" t="b">
        <f t="shared" si="0"/>
        <v>1</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4" zoomScale="90" zoomScaleNormal="90" workbookViewId="0">
      <selection activeCell="C34" sqref="C34:C38"/>
    </sheetView>
  </sheetViews>
  <sheetFormatPr defaultRowHeight="14.4"/>
  <cols>
    <col min="1" max="1" width="12.109375" customWidth="1"/>
    <col min="2" max="2" width="16" customWidth="1"/>
    <col min="3" max="3" width="10.109375" customWidth="1"/>
    <col min="4" max="4" width="15.44140625" customWidth="1"/>
    <col min="5" max="5" width="15.88671875" customWidth="1"/>
    <col min="7" max="7" width="10.33203125" customWidth="1"/>
    <col min="10" max="10" width="10.109375" customWidth="1"/>
    <col min="11" max="11" width="11.33203125" customWidth="1"/>
    <col min="12" max="12" width="10.109375" customWidth="1"/>
  </cols>
  <sheetData>
    <row r="1" spans="1:12" ht="31.8" thickBot="1">
      <c r="A1" s="156" t="s">
        <v>150</v>
      </c>
      <c r="B1" s="156"/>
      <c r="C1" s="73"/>
      <c r="D1" s="73"/>
      <c r="E1" s="73"/>
      <c r="F1" s="73"/>
      <c r="G1" s="73"/>
      <c r="H1" s="73"/>
      <c r="I1" s="73"/>
      <c r="J1" s="73"/>
      <c r="K1" s="73"/>
      <c r="L1" s="73"/>
    </row>
    <row r="2" spans="1:12" ht="15" thickTop="1"/>
    <row r="3" spans="1:12" ht="18">
      <c r="A3" s="71" t="s">
        <v>204</v>
      </c>
    </row>
    <row r="4" spans="1:12">
      <c r="A4" s="150" t="s">
        <v>344</v>
      </c>
      <c r="B4" s="150"/>
      <c r="C4" s="150"/>
      <c r="D4" s="150"/>
      <c r="E4" s="150"/>
      <c r="F4" s="150"/>
      <c r="G4" s="150"/>
      <c r="H4" s="150"/>
      <c r="I4" s="150"/>
      <c r="J4" s="150"/>
    </row>
    <row r="5" spans="1:12">
      <c r="A5" s="81"/>
      <c r="B5" s="81"/>
      <c r="C5" s="81"/>
      <c r="D5" s="81"/>
      <c r="E5" s="81"/>
      <c r="F5" s="81"/>
      <c r="G5" s="81"/>
      <c r="H5" s="81"/>
      <c r="I5" s="81"/>
      <c r="J5" s="81"/>
    </row>
    <row r="6" spans="1:12" ht="18">
      <c r="A6" s="71" t="s">
        <v>24</v>
      </c>
    </row>
    <row r="7" spans="1:12" ht="15.6">
      <c r="A7" s="76" t="s">
        <v>345</v>
      </c>
    </row>
    <row r="9" spans="1:12" ht="15.6">
      <c r="A9" s="70" t="s">
        <v>155</v>
      </c>
    </row>
    <row r="10" spans="1:12">
      <c r="A10" t="s">
        <v>346</v>
      </c>
    </row>
    <row r="12" spans="1:12" ht="15.6">
      <c r="A12" s="70" t="s">
        <v>348</v>
      </c>
    </row>
    <row r="13" spans="1:12">
      <c r="A13" t="s">
        <v>347</v>
      </c>
    </row>
    <row r="15" spans="1:12" ht="15.6">
      <c r="A15" s="70" t="s">
        <v>44</v>
      </c>
    </row>
    <row r="16" spans="1:12">
      <c r="A16" t="s">
        <v>350</v>
      </c>
    </row>
    <row r="17" spans="1:10">
      <c r="A17" s="75" t="s">
        <v>305</v>
      </c>
      <c r="B17" s="75" t="s">
        <v>49</v>
      </c>
      <c r="C17" s="151" t="s">
        <v>218</v>
      </c>
      <c r="D17" s="151"/>
    </row>
    <row r="18" spans="1:10">
      <c r="A18" s="91">
        <v>42821</v>
      </c>
      <c r="B18" s="74" t="str">
        <f>TEXT(A18, "dd/mm/yyyy")</f>
        <v>27/03/2017</v>
      </c>
      <c r="C18" s="152" t="s">
        <v>1039</v>
      </c>
      <c r="D18" s="154"/>
    </row>
    <row r="19" spans="1:10">
      <c r="A19" s="83">
        <v>42821</v>
      </c>
      <c r="B19" s="74" t="str">
        <f>TEXT(A19, "dd/m/yyyy")</f>
        <v>27/3/2017</v>
      </c>
      <c r="C19" s="152" t="s">
        <v>1040</v>
      </c>
      <c r="D19" s="154"/>
      <c r="F19" s="169" t="s">
        <v>351</v>
      </c>
      <c r="G19" s="169"/>
      <c r="H19" s="169"/>
      <c r="I19" s="169"/>
    </row>
    <row r="20" spans="1:10">
      <c r="A20" s="83">
        <v>42821</v>
      </c>
      <c r="B20" s="74" t="str">
        <f>TEXT(A20, "mmm dd yyyy")</f>
        <v>Mar 27 2017</v>
      </c>
      <c r="C20" s="152" t="s">
        <v>1041</v>
      </c>
      <c r="D20" s="154"/>
      <c r="F20" s="169"/>
      <c r="G20" s="169"/>
      <c r="H20" s="169"/>
      <c r="I20" s="169"/>
    </row>
    <row r="21" spans="1:10">
      <c r="A21" s="91">
        <v>42821</v>
      </c>
      <c r="B21" s="74" t="str">
        <f>TEXT(A21,"mmm-yy")</f>
        <v>Mar-17</v>
      </c>
      <c r="C21" s="152" t="s">
        <v>1042</v>
      </c>
      <c r="D21" s="154"/>
      <c r="F21" s="169"/>
      <c r="G21" s="169"/>
      <c r="H21" s="169"/>
      <c r="I21" s="169"/>
    </row>
    <row r="22" spans="1:10">
      <c r="A22" s="83">
        <v>14.141413999999999</v>
      </c>
      <c r="B22" s="74" t="str">
        <f>TEXT(A22, "0.00")</f>
        <v>14.14</v>
      </c>
      <c r="C22" s="152" t="s">
        <v>1043</v>
      </c>
      <c r="D22" s="154"/>
      <c r="F22" s="169"/>
      <c r="G22" s="169"/>
      <c r="H22" s="169"/>
      <c r="I22" s="169"/>
    </row>
    <row r="23" spans="1:10">
      <c r="A23" s="83">
        <v>14598.12</v>
      </c>
      <c r="B23" s="74" t="str">
        <f>TEXT(A23, "$#,##0.00")</f>
        <v>$14,598.12</v>
      </c>
      <c r="C23" s="152" t="s">
        <v>1044</v>
      </c>
      <c r="D23" s="154"/>
      <c r="F23" s="169"/>
      <c r="G23" s="169"/>
      <c r="H23" s="169"/>
      <c r="I23" s="169"/>
    </row>
    <row r="24" spans="1:10">
      <c r="A24" s="83">
        <v>14598.12</v>
      </c>
      <c r="B24" s="74" t="str">
        <f>TEXT(A24, "£#,##0.00")</f>
        <v>£14,598.12</v>
      </c>
      <c r="C24" s="152" t="s">
        <v>1045</v>
      </c>
      <c r="D24" s="154"/>
    </row>
    <row r="25" spans="1:10">
      <c r="A25" s="93">
        <v>0.58333333333333337</v>
      </c>
      <c r="B25" s="74" t="str">
        <f>TEXT(A25, "hh:mm")</f>
        <v>14:00</v>
      </c>
      <c r="C25" s="152" t="s">
        <v>1046</v>
      </c>
      <c r="D25" s="154"/>
    </row>
    <row r="26" spans="1:10" ht="15.6">
      <c r="A26" s="70"/>
    </row>
    <row r="27" spans="1:10" ht="15.6">
      <c r="A27" s="70" t="s">
        <v>352</v>
      </c>
    </row>
    <row r="28" spans="1:10">
      <c r="A28" s="150" t="s">
        <v>1047</v>
      </c>
      <c r="B28" s="150"/>
      <c r="C28" s="150"/>
      <c r="D28" s="150"/>
      <c r="E28" s="150"/>
      <c r="F28" s="150"/>
      <c r="G28" s="150"/>
      <c r="H28" s="150"/>
      <c r="I28" s="150"/>
      <c r="J28" s="150"/>
    </row>
    <row r="29" spans="1:10" ht="15.75" customHeight="1">
      <c r="A29" s="150"/>
      <c r="B29" s="150"/>
      <c r="C29" s="150"/>
      <c r="D29" s="150"/>
      <c r="E29" s="150"/>
      <c r="F29" s="150"/>
      <c r="G29" s="150"/>
      <c r="H29" s="150"/>
      <c r="I29" s="150"/>
      <c r="J29" s="150"/>
    </row>
    <row r="30" spans="1:10" ht="15.6">
      <c r="A30" s="70"/>
    </row>
    <row r="31" spans="1:10" ht="15.6">
      <c r="A31" s="70" t="s">
        <v>236</v>
      </c>
    </row>
    <row r="32" spans="1:10" ht="15" customHeight="1">
      <c r="A32" s="150" t="s">
        <v>342</v>
      </c>
      <c r="B32" s="150"/>
      <c r="C32" s="150"/>
      <c r="D32" s="150"/>
      <c r="E32" s="150"/>
      <c r="F32" s="150"/>
      <c r="G32" s="150"/>
      <c r="H32" s="150"/>
      <c r="I32" s="150"/>
      <c r="J32" s="150"/>
    </row>
    <row r="33" spans="1:3">
      <c r="A33" s="85" t="s">
        <v>155</v>
      </c>
      <c r="B33" s="85" t="s">
        <v>353</v>
      </c>
      <c r="C33" s="85" t="s">
        <v>339</v>
      </c>
    </row>
    <row r="34" spans="1:3">
      <c r="A34" s="94">
        <v>42876</v>
      </c>
      <c r="B34" s="94">
        <v>42876</v>
      </c>
      <c r="C34" s="82" t="b">
        <f>EXACT(A34,B34)</f>
        <v>1</v>
      </c>
    </row>
    <row r="35" spans="1:3">
      <c r="A35" s="74">
        <v>42876</v>
      </c>
      <c r="B35" s="94">
        <v>42876</v>
      </c>
      <c r="C35" s="82" t="b">
        <f t="shared" ref="C35:C38" si="0">EXACT(A35,B35)</f>
        <v>1</v>
      </c>
    </row>
    <row r="36" spans="1:3">
      <c r="A36" s="95">
        <v>0.5</v>
      </c>
      <c r="B36" s="95">
        <v>0.5</v>
      </c>
      <c r="C36" s="82" t="b">
        <f t="shared" si="0"/>
        <v>1</v>
      </c>
    </row>
    <row r="37" spans="1:3">
      <c r="A37" s="74">
        <v>12345.78</v>
      </c>
      <c r="B37" s="96">
        <v>12345.78</v>
      </c>
      <c r="C37" s="82" t="b">
        <f t="shared" si="0"/>
        <v>1</v>
      </c>
    </row>
    <row r="38" spans="1:3">
      <c r="A38" s="74">
        <v>12345.78</v>
      </c>
      <c r="B38" s="97">
        <v>12346</v>
      </c>
      <c r="C38" s="82" t="b">
        <f t="shared" si="0"/>
        <v>0</v>
      </c>
    </row>
    <row r="39" spans="1:3">
      <c r="A39" s="92"/>
    </row>
  </sheetData>
  <mergeCells count="14">
    <mergeCell ref="C20:D20"/>
    <mergeCell ref="C21:D21"/>
    <mergeCell ref="C22:D22"/>
    <mergeCell ref="F19:I23"/>
    <mergeCell ref="A32:J32"/>
    <mergeCell ref="C23:D23"/>
    <mergeCell ref="C24:D24"/>
    <mergeCell ref="C25:D25"/>
    <mergeCell ref="A28:J29"/>
    <mergeCell ref="A1:B1"/>
    <mergeCell ref="A4:J4"/>
    <mergeCell ref="C17:D17"/>
    <mergeCell ref="C18:D18"/>
    <mergeCell ref="C19:D1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19" zoomScale="90" zoomScaleNormal="90" workbookViewId="0">
      <selection activeCell="E25" sqref="E25:H25"/>
    </sheetView>
  </sheetViews>
  <sheetFormatPr defaultRowHeight="14.4"/>
  <cols>
    <col min="1" max="1" width="10" customWidth="1"/>
    <col min="2" max="2" width="11.5546875" bestFit="1" customWidth="1"/>
    <col min="3" max="3" width="10.109375" customWidth="1"/>
    <col min="4" max="4" width="15.5546875" customWidth="1"/>
    <col min="5" max="5" width="14.55468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162</v>
      </c>
      <c r="B1" s="170"/>
      <c r="C1" s="170"/>
      <c r="D1" s="73"/>
      <c r="E1" s="73"/>
      <c r="F1" s="73"/>
      <c r="G1" s="73"/>
      <c r="H1" s="73"/>
      <c r="I1" s="73"/>
      <c r="J1" s="73"/>
      <c r="K1" s="73"/>
      <c r="L1" s="73"/>
    </row>
    <row r="2" spans="1:12" ht="15" thickTop="1"/>
    <row r="3" spans="1:12" ht="18">
      <c r="A3" s="71" t="s">
        <v>204</v>
      </c>
    </row>
    <row r="4" spans="1:12">
      <c r="A4" t="s">
        <v>354</v>
      </c>
    </row>
    <row r="6" spans="1:12" ht="18">
      <c r="A6" s="71" t="s">
        <v>24</v>
      </c>
    </row>
    <row r="7" spans="1:12" ht="15.6">
      <c r="A7" s="76" t="s">
        <v>355</v>
      </c>
    </row>
    <row r="8" spans="1:12">
      <c r="A8" t="s">
        <v>0</v>
      </c>
    </row>
    <row r="9" spans="1:12" ht="15.6">
      <c r="A9" s="76" t="s">
        <v>356</v>
      </c>
    </row>
    <row r="11" spans="1:12" ht="15.6">
      <c r="A11" s="70" t="s">
        <v>357</v>
      </c>
    </row>
    <row r="12" spans="1:12">
      <c r="A12" t="s">
        <v>389</v>
      </c>
    </row>
    <row r="14" spans="1:12" ht="15.6">
      <c r="A14" s="70" t="s">
        <v>358</v>
      </c>
    </row>
    <row r="15" spans="1:12">
      <c r="A15" t="s">
        <v>359</v>
      </c>
    </row>
    <row r="17" spans="1:11" ht="15.6">
      <c r="A17" s="70" t="s">
        <v>48</v>
      </c>
    </row>
    <row r="18" spans="1:11">
      <c r="A18" t="s">
        <v>374</v>
      </c>
    </row>
    <row r="19" spans="1:11">
      <c r="A19" s="75" t="s">
        <v>361</v>
      </c>
      <c r="B19" s="75" t="s">
        <v>360</v>
      </c>
      <c r="C19" s="75" t="s">
        <v>362</v>
      </c>
      <c r="D19" s="75" t="s">
        <v>49</v>
      </c>
      <c r="E19" s="151" t="s">
        <v>218</v>
      </c>
      <c r="F19" s="151"/>
      <c r="G19" s="151"/>
    </row>
    <row r="20" spans="1:11">
      <c r="A20" s="74" t="s">
        <v>209</v>
      </c>
      <c r="B20" s="74">
        <v>90</v>
      </c>
      <c r="C20" s="74" t="s">
        <v>149</v>
      </c>
      <c r="D20" s="75" t="str">
        <f>CONCATENATE(A20,B20,C20)</f>
        <v>S00190Pass</v>
      </c>
      <c r="E20" s="155" t="s">
        <v>363</v>
      </c>
      <c r="F20" s="155"/>
      <c r="G20" s="155"/>
    </row>
    <row r="21" spans="1:11">
      <c r="A21" s="74" t="s">
        <v>210</v>
      </c>
      <c r="B21" s="74">
        <v>70</v>
      </c>
      <c r="C21" s="74" t="s">
        <v>149</v>
      </c>
      <c r="D21" s="75" t="str">
        <f t="shared" ref="D21" si="0">CONCATENATE(A21,B21,C21)</f>
        <v>S00270Pass</v>
      </c>
      <c r="E21" s="155" t="s">
        <v>364</v>
      </c>
      <c r="F21" s="155"/>
      <c r="G21" s="155"/>
    </row>
    <row r="22" spans="1:11">
      <c r="A22" s="74" t="s">
        <v>211</v>
      </c>
      <c r="B22" s="74">
        <v>20</v>
      </c>
      <c r="C22" s="74" t="s">
        <v>148</v>
      </c>
      <c r="D22" s="75" t="str">
        <f>A22&amp;B22&amp;C22</f>
        <v>S00320Fail</v>
      </c>
      <c r="E22" s="155" t="s">
        <v>365</v>
      </c>
      <c r="F22" s="155"/>
      <c r="G22" s="155"/>
    </row>
    <row r="23" spans="1:11">
      <c r="A23" s="74" t="s">
        <v>212</v>
      </c>
      <c r="B23" s="74">
        <v>41</v>
      </c>
      <c r="C23" s="74" t="s">
        <v>149</v>
      </c>
      <c r="D23" s="75" t="str">
        <f>A23&amp;B23&amp;C23</f>
        <v>S00441Pass</v>
      </c>
      <c r="E23" s="155" t="s">
        <v>366</v>
      </c>
      <c r="F23" s="155"/>
      <c r="G23" s="155"/>
    </row>
    <row r="24" spans="1:11">
      <c r="A24" s="74" t="s">
        <v>367</v>
      </c>
      <c r="B24" s="74">
        <v>39</v>
      </c>
      <c r="C24" s="74" t="s">
        <v>148</v>
      </c>
      <c r="D24" s="75" t="str">
        <f>CONCATENATE(A24," ",B24," ",C24)</f>
        <v>S005 39 Fail</v>
      </c>
      <c r="E24" s="155" t="s">
        <v>369</v>
      </c>
      <c r="F24" s="155"/>
      <c r="G24" s="155"/>
      <c r="I24" s="157" t="s">
        <v>373</v>
      </c>
      <c r="J24" s="157"/>
      <c r="K24" s="157"/>
    </row>
    <row r="25" spans="1:11">
      <c r="A25" s="74" t="s">
        <v>368</v>
      </c>
      <c r="B25" s="74">
        <v>99</v>
      </c>
      <c r="C25" s="74" t="s">
        <v>149</v>
      </c>
      <c r="D25" s="75" t="str">
        <f>A25&amp;" "&amp;B25&amp;" "&amp;C25</f>
        <v>S006 99 Pass</v>
      </c>
      <c r="E25" s="155" t="s">
        <v>370</v>
      </c>
      <c r="F25" s="155"/>
      <c r="G25" s="155"/>
      <c r="I25" s="157"/>
      <c r="J25" s="157"/>
      <c r="K25" s="157"/>
    </row>
    <row r="26" spans="1:11">
      <c r="A26" s="74" t="s">
        <v>371</v>
      </c>
      <c r="B26" s="74">
        <v>11</v>
      </c>
      <c r="C26" s="74" t="s">
        <v>148</v>
      </c>
      <c r="D26" s="75" t="str">
        <f>CONCATENATE(A26,";",B26,";",C26)</f>
        <v>S007;11;Fail</v>
      </c>
      <c r="E26" s="155" t="s">
        <v>372</v>
      </c>
      <c r="F26" s="155"/>
      <c r="G26" s="155"/>
      <c r="I26" s="157"/>
      <c r="J26" s="157"/>
      <c r="K26" s="157"/>
    </row>
    <row r="28" spans="1:11" ht="15.6">
      <c r="A28" s="70" t="s">
        <v>156</v>
      </c>
    </row>
    <row r="29" spans="1:11">
      <c r="A29" s="150" t="s">
        <v>382</v>
      </c>
      <c r="B29" s="150"/>
      <c r="C29" s="150"/>
      <c r="D29" s="150"/>
      <c r="E29" s="150"/>
      <c r="F29" s="150"/>
      <c r="G29" s="150"/>
      <c r="H29" s="150"/>
      <c r="I29" s="150"/>
      <c r="J29" s="150"/>
    </row>
    <row r="30" spans="1:11">
      <c r="A30" s="150"/>
      <c r="B30" s="150"/>
      <c r="C30" s="150"/>
      <c r="D30" s="150"/>
      <c r="E30" s="150"/>
      <c r="F30" s="150"/>
      <c r="G30" s="150"/>
      <c r="H30" s="150"/>
      <c r="I30" s="150"/>
      <c r="J30" s="150"/>
    </row>
    <row r="31" spans="1:11">
      <c r="A31" s="81"/>
      <c r="B31" s="81"/>
      <c r="C31" s="81"/>
      <c r="D31" s="81"/>
      <c r="E31" s="81"/>
      <c r="F31" s="81"/>
      <c r="G31" s="81"/>
      <c r="H31" s="81"/>
      <c r="I31" s="81"/>
      <c r="J31" s="81"/>
    </row>
    <row r="32" spans="1:11" ht="15.6">
      <c r="A32" s="70" t="s">
        <v>236</v>
      </c>
    </row>
    <row r="33" spans="1:9">
      <c r="A33" t="s">
        <v>375</v>
      </c>
    </row>
    <row r="34" spans="1:9">
      <c r="A34" s="75" t="s">
        <v>361</v>
      </c>
      <c r="B34" s="75" t="s">
        <v>360</v>
      </c>
      <c r="C34" s="75" t="s">
        <v>362</v>
      </c>
      <c r="D34" s="75" t="s">
        <v>49</v>
      </c>
      <c r="E34" s="75" t="s">
        <v>387</v>
      </c>
      <c r="F34" s="166" t="s">
        <v>218</v>
      </c>
      <c r="G34" s="167"/>
      <c r="H34" s="168"/>
    </row>
    <row r="35" spans="1:9">
      <c r="A35" s="74" t="s">
        <v>221</v>
      </c>
      <c r="B35" s="74" t="s">
        <v>226</v>
      </c>
      <c r="C35" s="74">
        <v>800</v>
      </c>
      <c r="D35" s="75" t="s">
        <v>383</v>
      </c>
      <c r="E35" s="74" t="s">
        <v>162</v>
      </c>
      <c r="F35" s="166" t="str">
        <f>'Text - TRIM'!F25:H25</f>
        <v>E001-AVP-800</v>
      </c>
      <c r="G35" s="167"/>
      <c r="H35" s="168"/>
    </row>
    <row r="36" spans="1:9">
      <c r="A36" s="74" t="s">
        <v>222</v>
      </c>
      <c r="B36" s="74" t="s">
        <v>227</v>
      </c>
      <c r="C36" s="74">
        <v>500</v>
      </c>
      <c r="D36" s="75" t="s">
        <v>379</v>
      </c>
      <c r="E36" s="74" t="s">
        <v>162</v>
      </c>
      <c r="F36" s="166" t="str">
        <f t="shared" ref="F36:F37" si="1">CONCATENATE(A36,B36,C36)</f>
        <v>E002Analyst500</v>
      </c>
      <c r="G36" s="167"/>
      <c r="H36" s="168"/>
    </row>
    <row r="37" spans="1:9">
      <c r="A37" s="74" t="s">
        <v>223</v>
      </c>
      <c r="B37" s="74" t="s">
        <v>227</v>
      </c>
      <c r="C37" s="74">
        <v>100</v>
      </c>
      <c r="D37" s="75" t="s">
        <v>384</v>
      </c>
      <c r="E37" s="74" t="s">
        <v>162</v>
      </c>
      <c r="F37" s="166" t="str">
        <f t="shared" si="1"/>
        <v>E003Analyst100</v>
      </c>
      <c r="G37" s="167"/>
      <c r="H37" s="168"/>
    </row>
    <row r="38" spans="1:9">
      <c r="A38" s="74" t="s">
        <v>224</v>
      </c>
      <c r="B38" s="74" t="s">
        <v>227</v>
      </c>
      <c r="C38" s="74">
        <v>400</v>
      </c>
      <c r="D38" s="75" t="s">
        <v>385</v>
      </c>
      <c r="E38" s="74" t="s">
        <v>388</v>
      </c>
      <c r="F38" s="166" t="str">
        <f>CONCATENATE(A38&amp;" "&amp;B38&amp;" "&amp;C38)</f>
        <v>E004 Analyst 400</v>
      </c>
      <c r="G38" s="167"/>
      <c r="H38" s="168"/>
    </row>
    <row r="39" spans="1:9">
      <c r="A39" s="74" t="s">
        <v>376</v>
      </c>
      <c r="B39" s="74" t="s">
        <v>226</v>
      </c>
      <c r="C39" s="74">
        <v>1000</v>
      </c>
      <c r="D39" s="75" t="s">
        <v>380</v>
      </c>
      <c r="E39" s="74" t="s">
        <v>388</v>
      </c>
      <c r="F39" s="166" t="str">
        <f t="shared" ref="F39:F41" si="2">CONCATENATE(A39&amp;" "&amp;B39&amp;" "&amp;C39)</f>
        <v>E005 AVP 1000</v>
      </c>
      <c r="G39" s="167"/>
      <c r="H39" s="168"/>
    </row>
    <row r="40" spans="1:9">
      <c r="A40" s="74" t="s">
        <v>377</v>
      </c>
      <c r="B40" s="74" t="s">
        <v>227</v>
      </c>
      <c r="C40" s="74">
        <v>250</v>
      </c>
      <c r="D40" s="75" t="s">
        <v>381</v>
      </c>
      <c r="E40" s="74" t="s">
        <v>388</v>
      </c>
      <c r="F40" s="166" t="str">
        <f t="shared" si="2"/>
        <v>E006 Analyst 250</v>
      </c>
      <c r="G40" s="167"/>
      <c r="H40" s="168"/>
    </row>
    <row r="41" spans="1:9">
      <c r="A41" s="74" t="s">
        <v>378</v>
      </c>
      <c r="B41" s="74" t="s">
        <v>227</v>
      </c>
      <c r="C41" s="74">
        <v>500</v>
      </c>
      <c r="D41" s="75" t="s">
        <v>386</v>
      </c>
      <c r="E41" s="74" t="s">
        <v>388</v>
      </c>
      <c r="F41" s="166" t="str">
        <f t="shared" si="2"/>
        <v>E007 Analyst 500</v>
      </c>
      <c r="G41" s="167"/>
      <c r="H41" s="168"/>
    </row>
    <row r="43" spans="1:9">
      <c r="D43" s="147"/>
      <c r="E43" s="69"/>
      <c r="I43" s="147"/>
    </row>
    <row r="44" spans="1:9">
      <c r="D44" s="147"/>
      <c r="E44" s="69"/>
      <c r="I44" s="147"/>
    </row>
    <row r="45" spans="1:9">
      <c r="D45" s="147"/>
      <c r="E45" s="69"/>
    </row>
    <row r="46" spans="1:9">
      <c r="D46" s="147"/>
      <c r="E46" s="69"/>
    </row>
  </sheetData>
  <mergeCells count="19">
    <mergeCell ref="F41:H41"/>
    <mergeCell ref="F34:H34"/>
    <mergeCell ref="F35:H35"/>
    <mergeCell ref="F36:H36"/>
    <mergeCell ref="F38:H38"/>
    <mergeCell ref="F37:H37"/>
    <mergeCell ref="F39:H39"/>
    <mergeCell ref="F40:H40"/>
    <mergeCell ref="A29:J30"/>
    <mergeCell ref="A1:C1"/>
    <mergeCell ref="E19:G19"/>
    <mergeCell ref="E20:G20"/>
    <mergeCell ref="E21:G21"/>
    <mergeCell ref="E22:G22"/>
    <mergeCell ref="E23:G23"/>
    <mergeCell ref="E24:G24"/>
    <mergeCell ref="E25:G25"/>
    <mergeCell ref="E26:G26"/>
    <mergeCell ref="I24:K26"/>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zoomScale="90" zoomScaleNormal="90" workbookViewId="0">
      <selection activeCell="F27" sqref="F27:H27"/>
    </sheetView>
  </sheetViews>
  <sheetFormatPr defaultRowHeight="14.4"/>
  <cols>
    <col min="1" max="1" width="10" customWidth="1"/>
    <col min="2" max="2" width="11.5546875" bestFit="1" customWidth="1"/>
    <col min="3" max="3" width="10.109375" customWidth="1"/>
    <col min="4" max="4" width="15.5546875" customWidth="1"/>
    <col min="5" max="5" width="14.55468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151</v>
      </c>
      <c r="B1" s="170"/>
      <c r="C1" s="98"/>
      <c r="D1" s="73"/>
      <c r="E1" s="73"/>
      <c r="F1" s="73"/>
      <c r="G1" s="73"/>
      <c r="H1" s="73"/>
      <c r="I1" s="73"/>
      <c r="J1" s="73"/>
      <c r="K1" s="73"/>
      <c r="L1" s="73"/>
    </row>
    <row r="2" spans="1:12" ht="15" thickTop="1"/>
    <row r="3" spans="1:12" ht="18">
      <c r="A3" s="71" t="s">
        <v>204</v>
      </c>
    </row>
    <row r="4" spans="1:12">
      <c r="A4" s="171" t="s">
        <v>1049</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
      <c r="A7" s="71" t="s">
        <v>24</v>
      </c>
    </row>
    <row r="8" spans="1:12" ht="15.6">
      <c r="A8" s="76" t="s">
        <v>390</v>
      </c>
    </row>
    <row r="10" spans="1:12" ht="15.6">
      <c r="A10" s="70" t="s">
        <v>145</v>
      </c>
    </row>
    <row r="11" spans="1:12">
      <c r="A11" t="s">
        <v>389</v>
      </c>
    </row>
    <row r="13" spans="1:12" ht="15.6">
      <c r="A13" s="70" t="s">
        <v>48</v>
      </c>
    </row>
    <row r="14" spans="1:12">
      <c r="A14" t="s">
        <v>1052</v>
      </c>
    </row>
    <row r="15" spans="1:12">
      <c r="A15" s="75" t="s">
        <v>361</v>
      </c>
      <c r="B15" s="75" t="s">
        <v>49</v>
      </c>
      <c r="C15" s="151" t="s">
        <v>218</v>
      </c>
      <c r="D15" s="151"/>
      <c r="E15" s="151"/>
    </row>
    <row r="16" spans="1:12">
      <c r="A16" s="74" t="s">
        <v>391</v>
      </c>
      <c r="B16" s="75" t="str">
        <f>TRIM(A16)</f>
        <v>S001 A</v>
      </c>
      <c r="C16" s="155" t="s">
        <v>395</v>
      </c>
      <c r="D16" s="155"/>
      <c r="E16" s="155"/>
    </row>
    <row r="17" spans="1:10">
      <c r="A17" s="74" t="s">
        <v>392</v>
      </c>
      <c r="B17" s="75" t="str">
        <f t="shared" ref="B17:B19" si="0">TRIM(A17)</f>
        <v>S001 A</v>
      </c>
      <c r="C17" s="155" t="s">
        <v>396</v>
      </c>
      <c r="D17" s="155"/>
      <c r="E17" s="155"/>
    </row>
    <row r="18" spans="1:10">
      <c r="A18" s="74" t="s">
        <v>393</v>
      </c>
      <c r="B18" s="75" t="str">
        <f t="shared" si="0"/>
        <v>S002</v>
      </c>
      <c r="C18" s="155" t="s">
        <v>397</v>
      </c>
      <c r="D18" s="155"/>
      <c r="E18" s="155"/>
    </row>
    <row r="19" spans="1:10">
      <c r="A19" s="74" t="s">
        <v>394</v>
      </c>
      <c r="B19" s="75" t="str">
        <f t="shared" si="0"/>
        <v>S003</v>
      </c>
      <c r="C19" s="155" t="s">
        <v>398</v>
      </c>
      <c r="D19" s="155"/>
      <c r="E19" s="155"/>
    </row>
    <row r="21" spans="1:10" ht="15.6">
      <c r="A21" s="70" t="s">
        <v>236</v>
      </c>
    </row>
    <row r="22" spans="1:10">
      <c r="A22" s="150" t="s">
        <v>399</v>
      </c>
      <c r="B22" s="150"/>
      <c r="C22" s="150"/>
      <c r="D22" s="150"/>
      <c r="E22" s="150"/>
      <c r="F22" s="150"/>
      <c r="G22" s="150"/>
      <c r="H22" s="150"/>
      <c r="I22" s="150"/>
      <c r="J22" s="150"/>
    </row>
    <row r="23" spans="1:10">
      <c r="A23" s="150"/>
      <c r="B23" s="150"/>
      <c r="C23" s="150"/>
      <c r="D23" s="150"/>
      <c r="E23" s="150"/>
      <c r="F23" s="150"/>
      <c r="G23" s="150"/>
      <c r="H23" s="150"/>
      <c r="I23" s="150"/>
      <c r="J23" s="150"/>
    </row>
    <row r="24" spans="1:10">
      <c r="A24" s="75" t="s">
        <v>361</v>
      </c>
      <c r="B24" s="75" t="s">
        <v>360</v>
      </c>
      <c r="C24" s="75" t="s">
        <v>362</v>
      </c>
      <c r="D24" s="75" t="s">
        <v>49</v>
      </c>
      <c r="E24" s="75" t="s">
        <v>387</v>
      </c>
      <c r="F24" s="166" t="s">
        <v>218</v>
      </c>
      <c r="G24" s="167"/>
      <c r="H24" s="168"/>
    </row>
    <row r="25" spans="1:10">
      <c r="A25" s="74" t="s">
        <v>400</v>
      </c>
      <c r="B25" s="74" t="s">
        <v>226</v>
      </c>
      <c r="C25" s="74">
        <v>800</v>
      </c>
      <c r="D25" s="75" t="s">
        <v>383</v>
      </c>
      <c r="E25" s="74" t="s">
        <v>162</v>
      </c>
      <c r="F25" s="166" t="str">
        <f>CONCATENATE(TRIM(A25), "-", TRIM(B25), "-",TRIM(C25))</f>
        <v>E001-AVP-800</v>
      </c>
      <c r="G25" s="167"/>
      <c r="H25" s="168"/>
    </row>
    <row r="26" spans="1:10">
      <c r="A26" s="74" t="s">
        <v>401</v>
      </c>
      <c r="B26" s="74" t="s">
        <v>227</v>
      </c>
      <c r="C26" s="74">
        <v>500</v>
      </c>
      <c r="D26" s="75" t="s">
        <v>379</v>
      </c>
      <c r="E26" s="74" t="s">
        <v>162</v>
      </c>
      <c r="F26" s="166" t="str">
        <f>CONCATENATE(TRIM(A26), TRIM(B26),TRIM(C26))</f>
        <v>E002Analyst500</v>
      </c>
      <c r="G26" s="167"/>
      <c r="H26" s="168"/>
    </row>
    <row r="27" spans="1:10">
      <c r="A27" s="74" t="s">
        <v>223</v>
      </c>
      <c r="B27" s="74" t="s">
        <v>402</v>
      </c>
      <c r="C27" s="74">
        <v>100</v>
      </c>
      <c r="D27" s="75" t="s">
        <v>384</v>
      </c>
      <c r="E27" s="74" t="s">
        <v>388</v>
      </c>
      <c r="F27" s="166" t="str">
        <f>TRIM(A27) &amp;"/"&amp; TRIM(B27) &amp;"-"&amp; TRIM(C27)</f>
        <v>E003/Ana lyst-100</v>
      </c>
      <c r="G27" s="167"/>
      <c r="H27" s="168"/>
    </row>
    <row r="28" spans="1:10">
      <c r="A28" s="74" t="s">
        <v>224</v>
      </c>
      <c r="B28" s="74" t="s">
        <v>403</v>
      </c>
      <c r="C28" s="74">
        <v>400</v>
      </c>
      <c r="D28" s="75" t="s">
        <v>385</v>
      </c>
      <c r="E28" s="74" t="s">
        <v>388</v>
      </c>
      <c r="F28" s="166" t="str">
        <f>TRIM(A28) &amp;":"&amp; TRIM(B28) &amp;":"&amp; TRIM(C28)</f>
        <v>E004:Analyst:400</v>
      </c>
      <c r="G28" s="167"/>
      <c r="H28" s="168"/>
    </row>
  </sheetData>
  <mergeCells count="13">
    <mergeCell ref="A1:B1"/>
    <mergeCell ref="A4:J5"/>
    <mergeCell ref="F25:H25"/>
    <mergeCell ref="F26:H26"/>
    <mergeCell ref="F27:H27"/>
    <mergeCell ref="F28:H28"/>
    <mergeCell ref="A22:J23"/>
    <mergeCell ref="F24:H24"/>
    <mergeCell ref="C15:E15"/>
    <mergeCell ref="C16:E16"/>
    <mergeCell ref="C17:E17"/>
    <mergeCell ref="C18:E18"/>
    <mergeCell ref="C19:E19"/>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16" zoomScale="90" zoomScaleNormal="90" workbookViewId="0">
      <selection activeCell="E41" sqref="E41:F41"/>
    </sheetView>
  </sheetViews>
  <sheetFormatPr defaultRowHeight="14.4"/>
  <cols>
    <col min="1" max="1" width="10" customWidth="1"/>
    <col min="2" max="2" width="11.5546875" customWidth="1"/>
    <col min="3" max="3" width="10.109375" customWidth="1"/>
    <col min="4" max="4" width="15.5546875" customWidth="1"/>
    <col min="5" max="5" width="14.554687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163</v>
      </c>
      <c r="B1" s="170"/>
      <c r="C1" s="170"/>
      <c r="D1" s="73"/>
      <c r="E1" s="73"/>
      <c r="F1" s="73"/>
      <c r="G1" s="73"/>
      <c r="H1" s="73"/>
      <c r="I1" s="73"/>
      <c r="J1" s="73"/>
      <c r="K1" s="73"/>
      <c r="L1" s="73"/>
    </row>
    <row r="2" spans="1:12" ht="15" thickTop="1"/>
    <row r="3" spans="1:12" ht="18">
      <c r="A3" s="71" t="s">
        <v>204</v>
      </c>
    </row>
    <row r="4" spans="1:12">
      <c r="A4" s="171" t="s">
        <v>412</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
      <c r="A7" s="71" t="s">
        <v>24</v>
      </c>
    </row>
    <row r="8" spans="1:12" ht="15.6">
      <c r="A8" s="76" t="s">
        <v>404</v>
      </c>
    </row>
    <row r="10" spans="1:12" ht="15.6">
      <c r="A10" s="70" t="s">
        <v>145</v>
      </c>
    </row>
    <row r="11" spans="1:12">
      <c r="A11" t="s">
        <v>405</v>
      </c>
    </row>
    <row r="13" spans="1:12" ht="15.6">
      <c r="A13" s="70" t="s">
        <v>406</v>
      </c>
    </row>
    <row r="14" spans="1:12">
      <c r="A14" t="s">
        <v>407</v>
      </c>
    </row>
    <row r="16" spans="1:12" ht="15.6">
      <c r="A16" s="70" t="s">
        <v>408</v>
      </c>
    </row>
    <row r="17" spans="1:10">
      <c r="A17" t="s">
        <v>409</v>
      </c>
    </row>
    <row r="19" spans="1:10" ht="15.6">
      <c r="A19" s="70" t="s">
        <v>410</v>
      </c>
    </row>
    <row r="20" spans="1:10">
      <c r="A20" s="150" t="s">
        <v>411</v>
      </c>
      <c r="B20" s="150"/>
      <c r="C20" s="150"/>
      <c r="D20" s="150"/>
      <c r="E20" s="150"/>
      <c r="F20" s="150"/>
      <c r="G20" s="150"/>
      <c r="H20" s="150"/>
      <c r="I20" s="150"/>
      <c r="J20" s="150"/>
    </row>
    <row r="21" spans="1:10">
      <c r="A21" s="150"/>
      <c r="B21" s="150"/>
      <c r="C21" s="150"/>
      <c r="D21" s="150"/>
      <c r="E21" s="150"/>
      <c r="F21" s="150"/>
      <c r="G21" s="150"/>
      <c r="H21" s="150"/>
      <c r="I21" s="150"/>
      <c r="J21" s="150"/>
    </row>
    <row r="22" spans="1:10">
      <c r="A22" s="81"/>
      <c r="B22" s="81"/>
      <c r="C22" s="81"/>
      <c r="D22" s="81"/>
      <c r="E22" s="81"/>
      <c r="F22" s="81"/>
      <c r="G22" s="81"/>
      <c r="H22" s="81"/>
      <c r="I22" s="81"/>
      <c r="J22" s="81"/>
    </row>
    <row r="23" spans="1:10" ht="15.6">
      <c r="A23" s="70" t="s">
        <v>48</v>
      </c>
    </row>
    <row r="24" spans="1:10">
      <c r="A24" t="s">
        <v>374</v>
      </c>
    </row>
    <row r="25" spans="1:10">
      <c r="A25" s="151" t="s">
        <v>416</v>
      </c>
      <c r="B25" s="151"/>
      <c r="C25" s="151"/>
      <c r="D25" s="75" t="s">
        <v>417</v>
      </c>
      <c r="E25" s="151" t="s">
        <v>49</v>
      </c>
      <c r="F25" s="151"/>
      <c r="G25" s="151" t="s">
        <v>218</v>
      </c>
      <c r="H25" s="151"/>
      <c r="I25" s="151"/>
    </row>
    <row r="26" spans="1:10">
      <c r="A26" s="172" t="s">
        <v>413</v>
      </c>
      <c r="B26" s="172"/>
      <c r="C26" s="172"/>
      <c r="D26" s="74"/>
      <c r="E26" s="172" t="str">
        <f>SUBSTITUTE(A26,"t","b")</f>
        <v>Hub</v>
      </c>
      <c r="F26" s="172"/>
      <c r="G26" s="155" t="s">
        <v>419</v>
      </c>
      <c r="H26" s="155"/>
      <c r="I26" s="155"/>
    </row>
    <row r="27" spans="1:10">
      <c r="A27" s="172" t="s">
        <v>418</v>
      </c>
      <c r="B27" s="172"/>
      <c r="C27" s="172"/>
      <c r="D27" s="74">
        <v>1</v>
      </c>
      <c r="E27" s="172" t="str">
        <f>SUBSTITUTE(A27,"b","T",1)</f>
        <v>Tumble</v>
      </c>
      <c r="F27" s="172"/>
      <c r="G27" s="155" t="s">
        <v>420</v>
      </c>
      <c r="H27" s="155"/>
      <c r="I27" s="155"/>
    </row>
    <row r="28" spans="1:10">
      <c r="A28" s="172" t="s">
        <v>414</v>
      </c>
      <c r="B28" s="172"/>
      <c r="C28" s="172"/>
      <c r="D28" s="74"/>
      <c r="E28" s="172" t="str">
        <f>SUBSTITUTE(A28,"the"," ")</f>
        <v xml:space="preserve">  car is in   driveway</v>
      </c>
      <c r="F28" s="172"/>
      <c r="G28" s="155" t="s">
        <v>421</v>
      </c>
      <c r="H28" s="155"/>
      <c r="I28" s="155"/>
    </row>
    <row r="29" spans="1:10">
      <c r="A29" s="172" t="s">
        <v>414</v>
      </c>
      <c r="B29" s="172"/>
      <c r="C29" s="172"/>
      <c r="D29" s="74">
        <v>2</v>
      </c>
      <c r="E29" s="172" t="str">
        <f>SUBSTITUTE(A29,"the","a",2)</f>
        <v>the car is in a driveway</v>
      </c>
      <c r="F29" s="172"/>
      <c r="G29" s="155" t="s">
        <v>422</v>
      </c>
      <c r="H29" s="155"/>
      <c r="I29" s="155"/>
    </row>
    <row r="30" spans="1:10">
      <c r="A30" s="172" t="s">
        <v>415</v>
      </c>
      <c r="B30" s="172"/>
      <c r="C30" s="172"/>
      <c r="D30" s="74"/>
      <c r="E30" s="172" t="str">
        <f>SUBSTITUTE(A30,"The"," ")</f>
        <v xml:space="preserve">  car is in the driveway</v>
      </c>
      <c r="F30" s="172"/>
      <c r="G30" s="155" t="s">
        <v>423</v>
      </c>
      <c r="H30" s="155"/>
      <c r="I30" s="155"/>
    </row>
    <row r="32" spans="1:10" ht="15.6">
      <c r="A32" s="70" t="s">
        <v>156</v>
      </c>
    </row>
    <row r="33" spans="1:10">
      <c r="A33" s="150" t="s">
        <v>424</v>
      </c>
      <c r="B33" s="150"/>
      <c r="C33" s="150"/>
      <c r="D33" s="150"/>
      <c r="E33" s="150"/>
      <c r="F33" s="150"/>
      <c r="G33" s="150"/>
      <c r="H33" s="150"/>
      <c r="I33" s="150"/>
      <c r="J33" s="150"/>
    </row>
    <row r="34" spans="1:10">
      <c r="A34" s="150"/>
      <c r="B34" s="150"/>
      <c r="C34" s="150"/>
      <c r="D34" s="150"/>
      <c r="E34" s="150"/>
      <c r="F34" s="150"/>
      <c r="G34" s="150"/>
      <c r="H34" s="150"/>
      <c r="I34" s="150"/>
      <c r="J34" s="150"/>
    </row>
    <row r="36" spans="1:10" ht="15.6">
      <c r="A36" s="70" t="s">
        <v>236</v>
      </c>
    </row>
    <row r="37" spans="1:10">
      <c r="A37" s="150" t="s">
        <v>425</v>
      </c>
      <c r="B37" s="150"/>
      <c r="C37" s="150"/>
      <c r="D37" s="150"/>
      <c r="E37" s="150"/>
      <c r="F37" s="150"/>
      <c r="G37" s="150"/>
      <c r="H37" s="150"/>
      <c r="I37" s="150"/>
      <c r="J37" s="150"/>
    </row>
    <row r="38" spans="1:10">
      <c r="A38" s="166" t="s">
        <v>416</v>
      </c>
      <c r="B38" s="168"/>
      <c r="C38" s="151" t="s">
        <v>49</v>
      </c>
      <c r="D38" s="151"/>
      <c r="E38" s="167" t="s">
        <v>218</v>
      </c>
      <c r="F38" s="168"/>
    </row>
    <row r="39" spans="1:10">
      <c r="A39" s="152" t="s">
        <v>426</v>
      </c>
      <c r="B39" s="154"/>
      <c r="C39" s="152" t="s">
        <v>429</v>
      </c>
      <c r="D39" s="154"/>
      <c r="E39" s="167" t="str">
        <f>SUBSTITUTE(A39,"The","")</f>
        <v xml:space="preserve"> dog is in the lawn</v>
      </c>
      <c r="F39" s="168"/>
    </row>
    <row r="40" spans="1:10">
      <c r="A40" s="152" t="s">
        <v>427</v>
      </c>
      <c r="B40" s="154"/>
      <c r="C40" s="152" t="s">
        <v>430</v>
      </c>
      <c r="D40" s="154"/>
      <c r="E40" s="167" t="str">
        <f>SUBSTITUTE(A40,"the","",2)</f>
        <v>the dog is in  lawn</v>
      </c>
      <c r="F40" s="168"/>
    </row>
    <row r="41" spans="1:10">
      <c r="A41" s="152" t="s">
        <v>428</v>
      </c>
      <c r="B41" s="154"/>
      <c r="C41" s="152" t="s">
        <v>431</v>
      </c>
      <c r="D41" s="154"/>
      <c r="E41" s="167" t="str">
        <f>SUBSTITUTE(A41,"D","F",1)</f>
        <v>Fog</v>
      </c>
      <c r="F41" s="168"/>
    </row>
    <row r="42" spans="1:10">
      <c r="A42" s="152" t="s">
        <v>432</v>
      </c>
      <c r="B42" s="154"/>
      <c r="C42" s="152" t="s">
        <v>433</v>
      </c>
      <c r="D42" s="154"/>
      <c r="E42" s="167" t="str">
        <f t="shared" ref="E42" si="0">SUBSTITUTE(A42,"The","")</f>
        <v>Curious Cat</v>
      </c>
      <c r="F42" s="168"/>
    </row>
  </sheetData>
  <mergeCells count="38">
    <mergeCell ref="A42:B42"/>
    <mergeCell ref="C39:D39"/>
    <mergeCell ref="C40:D40"/>
    <mergeCell ref="C41:D41"/>
    <mergeCell ref="C42:D42"/>
    <mergeCell ref="A40:B40"/>
    <mergeCell ref="A41:B41"/>
    <mergeCell ref="G29:I29"/>
    <mergeCell ref="G30:I30"/>
    <mergeCell ref="A38:B38"/>
    <mergeCell ref="C38:D38"/>
    <mergeCell ref="E29:F29"/>
    <mergeCell ref="E30:F30"/>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A4:J5"/>
    <mergeCell ref="G25:I25"/>
    <mergeCell ref="E26:F26"/>
    <mergeCell ref="E27:F27"/>
    <mergeCell ref="E28:F28"/>
    <mergeCell ref="G26:I26"/>
    <mergeCell ref="G27:I27"/>
    <mergeCell ref="G28:I28"/>
    <mergeCell ref="E25:F25"/>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topLeftCell="A4" zoomScale="90" zoomScaleNormal="90" workbookViewId="0">
      <selection activeCell="C22" sqref="C22:E24"/>
    </sheetView>
  </sheetViews>
  <sheetFormatPr defaultRowHeight="14.4"/>
  <cols>
    <col min="1" max="1" width="10.44140625" customWidth="1"/>
    <col min="2" max="2" width="11.554687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164</v>
      </c>
      <c r="B1" s="170"/>
      <c r="C1" s="98"/>
      <c r="D1" s="73"/>
      <c r="E1" s="73"/>
      <c r="F1" s="73"/>
      <c r="G1" s="73"/>
      <c r="H1" s="73"/>
      <c r="I1" s="73"/>
      <c r="J1" s="73"/>
      <c r="K1" s="73"/>
      <c r="L1" s="73"/>
    </row>
    <row r="2" spans="1:12" ht="15" thickTop="1"/>
    <row r="3" spans="1:12" ht="18">
      <c r="A3" s="71" t="s">
        <v>204</v>
      </c>
    </row>
    <row r="4" spans="1:12">
      <c r="A4" s="171" t="s">
        <v>435</v>
      </c>
      <c r="B4" s="171"/>
      <c r="C4" s="171"/>
      <c r="D4" s="171"/>
      <c r="E4" s="171"/>
      <c r="F4" s="171"/>
      <c r="G4" s="171"/>
      <c r="H4" s="171"/>
      <c r="I4" s="171"/>
      <c r="J4" s="171"/>
    </row>
    <row r="5" spans="1:12">
      <c r="A5" s="99"/>
      <c r="B5" s="99"/>
      <c r="C5" s="99"/>
      <c r="D5" s="99"/>
      <c r="E5" s="99"/>
      <c r="F5" s="99"/>
      <c r="G5" s="99"/>
      <c r="H5" s="99"/>
      <c r="I5" s="99"/>
      <c r="J5" s="99"/>
    </row>
    <row r="6" spans="1:12" ht="18">
      <c r="A6" s="71" t="s">
        <v>24</v>
      </c>
    </row>
    <row r="7" spans="1:12" ht="15.6">
      <c r="A7" s="76" t="s">
        <v>434</v>
      </c>
    </row>
    <row r="9" spans="1:12" ht="15.6">
      <c r="A9" s="70" t="s">
        <v>145</v>
      </c>
    </row>
    <row r="10" spans="1:12">
      <c r="A10" t="s">
        <v>436</v>
      </c>
    </row>
    <row r="12" spans="1:12" ht="15.6">
      <c r="A12" s="70" t="s">
        <v>48</v>
      </c>
    </row>
    <row r="13" spans="1:12">
      <c r="A13" t="s">
        <v>442</v>
      </c>
    </row>
    <row r="14" spans="1:12">
      <c r="A14" s="75" t="s">
        <v>145</v>
      </c>
      <c r="B14" s="75" t="s">
        <v>49</v>
      </c>
      <c r="C14" s="166" t="s">
        <v>218</v>
      </c>
      <c r="D14" s="168"/>
    </row>
    <row r="15" spans="1:12">
      <c r="A15" s="80">
        <v>12345</v>
      </c>
      <c r="B15" s="75">
        <f>VALUE(A15)</f>
        <v>12345</v>
      </c>
      <c r="C15" s="152" t="s">
        <v>437</v>
      </c>
      <c r="D15" s="154"/>
    </row>
    <row r="16" spans="1:12">
      <c r="A16" s="94">
        <v>42821</v>
      </c>
      <c r="B16" s="75">
        <f>VALUE(A16)</f>
        <v>42821</v>
      </c>
      <c r="C16" s="152" t="s">
        <v>438</v>
      </c>
      <c r="D16" s="154"/>
      <c r="F16" s="157" t="s">
        <v>440</v>
      </c>
      <c r="G16" s="157"/>
      <c r="H16" s="157"/>
      <c r="I16" s="157"/>
    </row>
    <row r="17" spans="1:10">
      <c r="A17" s="94">
        <v>41982</v>
      </c>
      <c r="B17" s="75">
        <f>VALUE(A17)</f>
        <v>41982</v>
      </c>
      <c r="C17" s="152" t="s">
        <v>439</v>
      </c>
      <c r="D17" s="154"/>
      <c r="F17" s="157"/>
      <c r="G17" s="157"/>
      <c r="H17" s="157"/>
      <c r="I17" s="157"/>
    </row>
    <row r="19" spans="1:10" ht="15.6">
      <c r="A19" s="70" t="s">
        <v>236</v>
      </c>
    </row>
    <row r="20" spans="1:10">
      <c r="A20" s="150" t="s">
        <v>441</v>
      </c>
      <c r="B20" s="150"/>
      <c r="C20" s="150"/>
      <c r="D20" s="150"/>
      <c r="E20" s="150"/>
      <c r="F20" s="150"/>
      <c r="G20" s="150"/>
      <c r="H20" s="150"/>
      <c r="I20" s="150"/>
      <c r="J20" s="150"/>
    </row>
    <row r="21" spans="1:10">
      <c r="A21" s="75" t="s">
        <v>145</v>
      </c>
      <c r="B21" s="75" t="s">
        <v>49</v>
      </c>
      <c r="C21" s="166" t="s">
        <v>218</v>
      </c>
      <c r="D21" s="167"/>
      <c r="E21" s="168"/>
    </row>
    <row r="22" spans="1:10">
      <c r="A22" s="100">
        <v>123.17</v>
      </c>
      <c r="B22" s="75">
        <v>123</v>
      </c>
      <c r="C22" s="166">
        <f>VALUE(A22)</f>
        <v>123.17</v>
      </c>
      <c r="D22" s="167"/>
      <c r="E22" s="168"/>
    </row>
    <row r="23" spans="1:10">
      <c r="A23" s="94">
        <v>43070</v>
      </c>
      <c r="B23" s="75">
        <v>43070</v>
      </c>
      <c r="C23" s="166">
        <f t="shared" ref="C23:C24" si="0">VALUE(A23)</f>
        <v>43070</v>
      </c>
      <c r="D23" s="167"/>
      <c r="E23" s="168"/>
    </row>
    <row r="24" spans="1:10">
      <c r="A24" s="94">
        <v>42747</v>
      </c>
      <c r="B24" s="75">
        <v>42747</v>
      </c>
      <c r="C24" s="166">
        <f t="shared" si="0"/>
        <v>42747</v>
      </c>
      <c r="D24" s="167"/>
      <c r="E24" s="168"/>
    </row>
  </sheetData>
  <mergeCells count="12">
    <mergeCell ref="C23:E23"/>
    <mergeCell ref="C24:E24"/>
    <mergeCell ref="C14:D14"/>
    <mergeCell ref="C15:D15"/>
    <mergeCell ref="C16:D16"/>
    <mergeCell ref="C17:D17"/>
    <mergeCell ref="A1:B1"/>
    <mergeCell ref="A4:J4"/>
    <mergeCell ref="A20:J20"/>
    <mergeCell ref="C21:E21"/>
    <mergeCell ref="C22:E22"/>
    <mergeCell ref="F16:I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topLeftCell="A7" zoomScale="90" zoomScaleNormal="90" workbookViewId="0">
      <selection activeCell="C29" sqref="C29:D29"/>
    </sheetView>
  </sheetViews>
  <sheetFormatPr defaultRowHeight="14.4"/>
  <cols>
    <col min="1" max="1" width="10.44140625" customWidth="1"/>
    <col min="2" max="2" width="11.554687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165</v>
      </c>
      <c r="B1" s="170"/>
      <c r="C1" s="98"/>
      <c r="D1" s="73"/>
      <c r="E1" s="73"/>
      <c r="F1" s="73"/>
      <c r="G1" s="73"/>
      <c r="H1" s="73"/>
      <c r="I1" s="73"/>
      <c r="J1" s="73"/>
      <c r="K1" s="73"/>
      <c r="L1" s="73"/>
    </row>
    <row r="2" spans="1:12" ht="15" thickTop="1"/>
    <row r="3" spans="1:12" ht="18">
      <c r="A3" s="71" t="s">
        <v>204</v>
      </c>
    </row>
    <row r="4" spans="1:12">
      <c r="A4" s="171" t="s">
        <v>444</v>
      </c>
      <c r="B4" s="171"/>
      <c r="C4" s="171"/>
      <c r="D4" s="171"/>
      <c r="E4" s="171"/>
      <c r="F4" s="171"/>
      <c r="G4" s="171"/>
      <c r="H4" s="171"/>
      <c r="I4" s="171"/>
      <c r="J4" s="171"/>
    </row>
    <row r="5" spans="1:12">
      <c r="A5" s="99"/>
      <c r="B5" s="99"/>
      <c r="C5" s="99"/>
      <c r="D5" s="99"/>
      <c r="E5" s="99"/>
      <c r="F5" s="99"/>
      <c r="G5" s="99"/>
      <c r="H5" s="99"/>
      <c r="I5" s="99"/>
      <c r="J5" s="99"/>
    </row>
    <row r="6" spans="1:12" ht="18">
      <c r="A6" s="71" t="s">
        <v>24</v>
      </c>
    </row>
    <row r="7" spans="1:12" ht="15.6">
      <c r="A7" s="76" t="s">
        <v>443</v>
      </c>
    </row>
    <row r="9" spans="1:12" ht="15.6">
      <c r="A9" s="70" t="s">
        <v>145</v>
      </c>
    </row>
    <row r="10" spans="1:12">
      <c r="A10" t="s">
        <v>445</v>
      </c>
    </row>
    <row r="12" spans="1:12" ht="15.6">
      <c r="A12" s="70" t="s">
        <v>48</v>
      </c>
    </row>
    <row r="13" spans="1:12">
      <c r="A13" s="101" t="s">
        <v>452</v>
      </c>
    </row>
    <row r="14" spans="1:12">
      <c r="A14" s="151" t="s">
        <v>145</v>
      </c>
      <c r="B14" s="151"/>
      <c r="C14" s="151" t="s">
        <v>49</v>
      </c>
      <c r="D14" s="151"/>
      <c r="E14" s="166" t="s">
        <v>218</v>
      </c>
      <c r="F14" s="168"/>
    </row>
    <row r="15" spans="1:12">
      <c r="A15" s="155" t="s">
        <v>446</v>
      </c>
      <c r="B15" s="155"/>
      <c r="C15" s="155" t="str">
        <f>UPPER(A15)</f>
        <v>LAPTOP</v>
      </c>
      <c r="D15" s="155"/>
      <c r="E15" s="152" t="s">
        <v>449</v>
      </c>
      <c r="F15" s="154"/>
    </row>
    <row r="16" spans="1:12" ht="15" customHeight="1">
      <c r="A16" s="155" t="s">
        <v>447</v>
      </c>
      <c r="B16" s="155"/>
      <c r="C16" s="155" t="str">
        <f>UPPER(A16)</f>
        <v>EXCEL</v>
      </c>
      <c r="D16" s="155"/>
      <c r="E16" s="152" t="s">
        <v>450</v>
      </c>
      <c r="F16" s="154"/>
    </row>
    <row r="17" spans="1:10">
      <c r="A17" s="155" t="s">
        <v>448</v>
      </c>
      <c r="B17" s="155"/>
      <c r="C17" s="155" t="str">
        <f>UPPER(A17)</f>
        <v>SUPERSTORE IS CLOSED NOW</v>
      </c>
      <c r="D17" s="155"/>
      <c r="E17" s="152" t="s">
        <v>451</v>
      </c>
      <c r="F17" s="154"/>
    </row>
    <row r="19" spans="1:10" ht="15.6">
      <c r="A19" s="70" t="s">
        <v>455</v>
      </c>
    </row>
    <row r="20" spans="1:10" ht="15" customHeight="1">
      <c r="A20" s="101" t="s">
        <v>452</v>
      </c>
      <c r="B20" s="81"/>
      <c r="C20" s="81"/>
      <c r="D20" s="81"/>
      <c r="E20" s="81"/>
      <c r="F20" s="81"/>
      <c r="G20" s="81"/>
      <c r="H20" s="81"/>
      <c r="I20" s="81"/>
      <c r="J20" s="81"/>
    </row>
    <row r="21" spans="1:10">
      <c r="A21" s="151" t="s">
        <v>145</v>
      </c>
      <c r="B21" s="151"/>
      <c r="C21" s="166" t="s">
        <v>218</v>
      </c>
      <c r="D21" s="167"/>
      <c r="E21" s="168"/>
    </row>
    <row r="22" spans="1:10">
      <c r="A22" s="155" t="s">
        <v>453</v>
      </c>
      <c r="B22" s="155"/>
      <c r="C22" s="166" t="str">
        <f>UPPER(A22)</f>
        <v>GOOD</v>
      </c>
      <c r="D22" s="167"/>
      <c r="E22" s="168"/>
    </row>
    <row r="23" spans="1:10">
      <c r="A23" s="155" t="s">
        <v>454</v>
      </c>
      <c r="B23" s="155"/>
      <c r="C23" s="166" t="str">
        <f>UPPER(A23)</f>
        <v>HOW ARE YOU?</v>
      </c>
      <c r="D23" s="167"/>
      <c r="E23" s="168"/>
    </row>
    <row r="25" spans="1:10" ht="15.6">
      <c r="A25" s="70" t="s">
        <v>456</v>
      </c>
    </row>
    <row r="26" spans="1:10">
      <c r="A26" t="s">
        <v>461</v>
      </c>
    </row>
    <row r="27" spans="1:10">
      <c r="A27" s="75" t="s">
        <v>305</v>
      </c>
      <c r="B27" s="75" t="s">
        <v>306</v>
      </c>
      <c r="C27" s="151" t="s">
        <v>49</v>
      </c>
      <c r="D27" s="151"/>
    </row>
    <row r="28" spans="1:10">
      <c r="A28" s="74" t="str">
        <f>UPPER(B28)</f>
        <v>MATCH</v>
      </c>
      <c r="B28" s="74" t="s">
        <v>183</v>
      </c>
      <c r="C28" s="155" t="b">
        <f>EXACT(A28,B28)</f>
        <v>1</v>
      </c>
      <c r="D28" s="155"/>
    </row>
    <row r="29" spans="1:10">
      <c r="A29" s="74" t="str">
        <f t="shared" ref="A29:A30" si="0">UPPER(B29)</f>
        <v>MATCH</v>
      </c>
      <c r="B29" s="74" t="s">
        <v>458</v>
      </c>
      <c r="C29" s="155" t="b">
        <f t="shared" ref="C29:C30" si="1">EXACT(A29,B29)</f>
        <v>0</v>
      </c>
      <c r="D29" s="155"/>
    </row>
    <row r="30" spans="1:10">
      <c r="A30" s="74" t="str">
        <f t="shared" si="0"/>
        <v>CORECT</v>
      </c>
      <c r="B30" s="74" t="s">
        <v>460</v>
      </c>
      <c r="C30" s="155" t="b">
        <f t="shared" si="1"/>
        <v>1</v>
      </c>
      <c r="D30" s="155"/>
    </row>
  </sheetData>
  <mergeCells count="24">
    <mergeCell ref="C29:D29"/>
    <mergeCell ref="C30:D30"/>
    <mergeCell ref="A21:B21"/>
    <mergeCell ref="A22:B22"/>
    <mergeCell ref="A23:B23"/>
    <mergeCell ref="C27:D27"/>
    <mergeCell ref="C28:D28"/>
    <mergeCell ref="C21:E21"/>
    <mergeCell ref="C22:E22"/>
    <mergeCell ref="C23:E23"/>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zoomScale="90" zoomScaleNormal="90" workbookViewId="0">
      <selection activeCell="A28" sqref="A28:A30"/>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166</v>
      </c>
      <c r="B1" s="170"/>
      <c r="C1" s="98"/>
      <c r="D1" s="73"/>
      <c r="E1" s="73"/>
      <c r="F1" s="73"/>
      <c r="G1" s="73"/>
      <c r="H1" s="73"/>
      <c r="I1" s="73"/>
      <c r="J1" s="73"/>
      <c r="K1" s="73"/>
      <c r="L1" s="73"/>
    </row>
    <row r="2" spans="1:12" ht="15" thickTop="1"/>
    <row r="3" spans="1:12" ht="18">
      <c r="A3" s="71" t="s">
        <v>204</v>
      </c>
    </row>
    <row r="4" spans="1:12">
      <c r="A4" s="171" t="s">
        <v>462</v>
      </c>
      <c r="B4" s="171"/>
      <c r="C4" s="171"/>
      <c r="D4" s="171"/>
      <c r="E4" s="171"/>
      <c r="F4" s="171"/>
      <c r="G4" s="171"/>
      <c r="H4" s="171"/>
      <c r="I4" s="171"/>
      <c r="J4" s="171"/>
    </row>
    <row r="5" spans="1:12">
      <c r="A5" s="99"/>
      <c r="B5" s="99"/>
      <c r="C5" s="99"/>
      <c r="D5" s="99"/>
      <c r="E5" s="99"/>
      <c r="F5" s="99"/>
      <c r="G5" s="99"/>
      <c r="H5" s="99"/>
      <c r="I5" s="99"/>
      <c r="J5" s="99"/>
    </row>
    <row r="6" spans="1:12" ht="18">
      <c r="A6" s="71" t="s">
        <v>24</v>
      </c>
    </row>
    <row r="7" spans="1:12" ht="15.6">
      <c r="A7" s="76" t="s">
        <v>463</v>
      </c>
    </row>
    <row r="9" spans="1:12" ht="15.6">
      <c r="A9" s="70" t="s">
        <v>145</v>
      </c>
    </row>
    <row r="10" spans="1:12">
      <c r="A10" t="s">
        <v>464</v>
      </c>
    </row>
    <row r="12" spans="1:12" ht="15.6">
      <c r="A12" s="70" t="s">
        <v>48</v>
      </c>
    </row>
    <row r="13" spans="1:12">
      <c r="A13" s="101" t="s">
        <v>465</v>
      </c>
    </row>
    <row r="14" spans="1:12">
      <c r="A14" s="151" t="s">
        <v>145</v>
      </c>
      <c r="B14" s="151"/>
      <c r="C14" s="151" t="s">
        <v>49</v>
      </c>
      <c r="D14" s="151"/>
      <c r="E14" s="166" t="s">
        <v>218</v>
      </c>
      <c r="F14" s="168"/>
    </row>
    <row r="15" spans="1:12">
      <c r="A15" s="155" t="s">
        <v>446</v>
      </c>
      <c r="B15" s="155"/>
      <c r="C15" s="155" t="str">
        <f>LOWER(A15)</f>
        <v>laptop</v>
      </c>
      <c r="D15" s="155"/>
      <c r="E15" s="152" t="s">
        <v>467</v>
      </c>
      <c r="F15" s="154"/>
    </row>
    <row r="16" spans="1:12" ht="15" customHeight="1">
      <c r="A16" s="155" t="s">
        <v>334</v>
      </c>
      <c r="B16" s="155"/>
      <c r="C16" s="155" t="str">
        <f t="shared" ref="C16:C17" si="0">LOWER(A16)</f>
        <v>excel</v>
      </c>
      <c r="D16" s="155"/>
      <c r="E16" s="152" t="s">
        <v>468</v>
      </c>
      <c r="F16" s="154"/>
    </row>
    <row r="17" spans="1:10">
      <c r="A17" s="155" t="s">
        <v>466</v>
      </c>
      <c r="B17" s="155"/>
      <c r="C17" s="155" t="str">
        <f t="shared" si="0"/>
        <v>superstore is closed now</v>
      </c>
      <c r="D17" s="155"/>
      <c r="E17" s="152" t="s">
        <v>469</v>
      </c>
      <c r="F17" s="154"/>
    </row>
    <row r="19" spans="1:10" ht="15.6">
      <c r="A19" s="70" t="s">
        <v>455</v>
      </c>
    </row>
    <row r="20" spans="1:10" ht="15" customHeight="1">
      <c r="A20" s="101" t="s">
        <v>465</v>
      </c>
      <c r="B20" s="81"/>
      <c r="C20" s="81"/>
      <c r="D20" s="81"/>
      <c r="E20" s="81"/>
      <c r="F20" s="81"/>
      <c r="G20" s="81"/>
      <c r="H20" s="81"/>
      <c r="I20" s="81"/>
      <c r="J20" s="81"/>
    </row>
    <row r="21" spans="1:10">
      <c r="A21" s="151" t="s">
        <v>145</v>
      </c>
      <c r="B21" s="151"/>
      <c r="C21" s="166" t="s">
        <v>218</v>
      </c>
      <c r="D21" s="167"/>
      <c r="E21" s="168"/>
    </row>
    <row r="22" spans="1:10">
      <c r="A22" s="155" t="s">
        <v>470</v>
      </c>
      <c r="B22" s="155"/>
      <c r="C22" s="166" t="str">
        <f>LOWER(A22)</f>
        <v>good</v>
      </c>
      <c r="D22" s="167"/>
      <c r="E22" s="168"/>
    </row>
    <row r="23" spans="1:10">
      <c r="A23" s="155" t="s">
        <v>471</v>
      </c>
      <c r="B23" s="155"/>
      <c r="C23" s="166" t="str">
        <f>LOWER(A23)</f>
        <v>how are you?</v>
      </c>
      <c r="D23" s="167"/>
      <c r="E23" s="168"/>
    </row>
    <row r="25" spans="1:10" ht="15.6">
      <c r="A25" s="70" t="s">
        <v>456</v>
      </c>
    </row>
    <row r="26" spans="1:10">
      <c r="A26" t="s">
        <v>472</v>
      </c>
    </row>
    <row r="27" spans="1:10">
      <c r="A27" s="75" t="s">
        <v>305</v>
      </c>
      <c r="B27" s="75" t="s">
        <v>306</v>
      </c>
      <c r="C27" s="151" t="s">
        <v>49</v>
      </c>
      <c r="D27" s="151"/>
    </row>
    <row r="28" spans="1:10">
      <c r="A28" s="74" t="str">
        <f>LOWER(B28)</f>
        <v>match</v>
      </c>
      <c r="B28" s="74" t="s">
        <v>457</v>
      </c>
      <c r="C28" s="155" t="b">
        <f>EXACT(A28,B28)</f>
        <v>1</v>
      </c>
      <c r="D28" s="155"/>
    </row>
    <row r="29" spans="1:10">
      <c r="A29" s="74" t="str">
        <f t="shared" ref="A29:A30" si="1">LOWER(B29)</f>
        <v>match</v>
      </c>
      <c r="B29" s="74" t="s">
        <v>473</v>
      </c>
      <c r="C29" s="155" t="b">
        <f t="shared" ref="C29:C30" si="2">EXACT(A29,B29)</f>
        <v>0</v>
      </c>
      <c r="D29" s="155"/>
    </row>
    <row r="30" spans="1:10">
      <c r="A30" s="74" t="str">
        <f t="shared" si="1"/>
        <v>correct</v>
      </c>
      <c r="B30" s="74" t="s">
        <v>459</v>
      </c>
      <c r="C30" s="155" t="b">
        <f t="shared" si="2"/>
        <v>1</v>
      </c>
      <c r="D30" s="155"/>
    </row>
  </sheetData>
  <mergeCells count="24">
    <mergeCell ref="C27:D27"/>
    <mergeCell ref="C28:D28"/>
    <mergeCell ref="C29:D29"/>
    <mergeCell ref="C30:D30"/>
    <mergeCell ref="A21:B21"/>
    <mergeCell ref="C21:E21"/>
    <mergeCell ref="A22:B22"/>
    <mergeCell ref="C22:E22"/>
    <mergeCell ref="A23:B23"/>
    <mergeCell ref="C23:E23"/>
    <mergeCell ref="A16:B16"/>
    <mergeCell ref="C16:D16"/>
    <mergeCell ref="E16:F16"/>
    <mergeCell ref="A17:B17"/>
    <mergeCell ref="C17:D17"/>
    <mergeCell ref="E17:F17"/>
    <mergeCell ref="A15:B15"/>
    <mergeCell ref="C15:D15"/>
    <mergeCell ref="E15:F15"/>
    <mergeCell ref="A1:B1"/>
    <mergeCell ref="A4:J4"/>
    <mergeCell ref="A14:B14"/>
    <mergeCell ref="C14:D14"/>
    <mergeCell ref="E14:F14"/>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zoomScale="90" zoomScaleNormal="90" workbookViewId="0">
      <selection activeCell="C24" sqref="C24:E25"/>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169</v>
      </c>
      <c r="B1" s="170"/>
      <c r="C1" s="98"/>
      <c r="D1" s="73"/>
      <c r="E1" s="73"/>
      <c r="F1" s="73"/>
      <c r="G1" s="73"/>
      <c r="H1" s="73"/>
      <c r="I1" s="73"/>
      <c r="J1" s="73"/>
      <c r="K1" s="73"/>
      <c r="L1" s="73"/>
    </row>
    <row r="2" spans="1:12" ht="15" thickTop="1"/>
    <row r="3" spans="1:12" ht="18">
      <c r="A3" s="71" t="s">
        <v>204</v>
      </c>
    </row>
    <row r="4" spans="1:12" ht="15" customHeight="1">
      <c r="A4" s="171" t="s">
        <v>484</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
      <c r="A7" s="71" t="s">
        <v>24</v>
      </c>
    </row>
    <row r="8" spans="1:12" ht="15.6">
      <c r="A8" s="76" t="s">
        <v>474</v>
      </c>
    </row>
    <row r="10" spans="1:12" ht="15.6">
      <c r="A10" s="70" t="s">
        <v>145</v>
      </c>
    </row>
    <row r="11" spans="1:12">
      <c r="A11" t="s">
        <v>475</v>
      </c>
    </row>
    <row r="13" spans="1:12" ht="15.6">
      <c r="A13" s="70" t="s">
        <v>48</v>
      </c>
    </row>
    <row r="14" spans="1:12">
      <c r="A14" s="101" t="s">
        <v>465</v>
      </c>
    </row>
    <row r="15" spans="1:12">
      <c r="A15" s="151" t="s">
        <v>145</v>
      </c>
      <c r="B15" s="151"/>
      <c r="C15" s="151" t="s">
        <v>49</v>
      </c>
      <c r="D15" s="151"/>
      <c r="E15" s="166" t="s">
        <v>218</v>
      </c>
      <c r="F15" s="168"/>
    </row>
    <row r="16" spans="1:12">
      <c r="A16" s="155" t="s">
        <v>446</v>
      </c>
      <c r="B16" s="155"/>
      <c r="C16" s="155">
        <f>LEN(A16)</f>
        <v>6</v>
      </c>
      <c r="D16" s="155"/>
      <c r="E16" s="152" t="s">
        <v>478</v>
      </c>
      <c r="F16" s="154"/>
    </row>
    <row r="17" spans="1:10" ht="15" customHeight="1">
      <c r="A17" s="155" t="s">
        <v>476</v>
      </c>
      <c r="B17" s="155"/>
      <c r="C17" s="155">
        <f>LEN(A17)</f>
        <v>6</v>
      </c>
      <c r="D17" s="155"/>
      <c r="E17" s="152" t="s">
        <v>479</v>
      </c>
      <c r="F17" s="154"/>
    </row>
    <row r="18" spans="1:10">
      <c r="A18" s="155" t="s">
        <v>477</v>
      </c>
      <c r="B18" s="155"/>
      <c r="C18" s="155">
        <f>LEN(A18)</f>
        <v>22</v>
      </c>
      <c r="D18" s="155"/>
      <c r="E18" s="152" t="s">
        <v>480</v>
      </c>
      <c r="F18" s="154"/>
    </row>
    <row r="19" spans="1:10">
      <c r="A19" s="155">
        <v>90</v>
      </c>
      <c r="B19" s="155"/>
      <c r="C19" s="155">
        <f>LEN(A19)</f>
        <v>2</v>
      </c>
      <c r="D19" s="155"/>
      <c r="E19" s="152" t="s">
        <v>485</v>
      </c>
      <c r="F19" s="154"/>
    </row>
    <row r="20" spans="1:10">
      <c r="A20" s="69"/>
      <c r="B20" s="69"/>
      <c r="C20" s="69"/>
      <c r="D20" s="69"/>
    </row>
    <row r="21" spans="1:10" ht="15.6">
      <c r="A21" s="70" t="s">
        <v>455</v>
      </c>
    </row>
    <row r="22" spans="1:10" ht="15" customHeight="1">
      <c r="A22" s="101" t="s">
        <v>481</v>
      </c>
      <c r="B22" s="81"/>
      <c r="C22" s="81"/>
      <c r="D22" s="81"/>
      <c r="E22" s="81"/>
      <c r="F22" s="81"/>
      <c r="G22" s="81"/>
      <c r="H22" s="81"/>
      <c r="I22" s="81"/>
      <c r="J22" s="81"/>
    </row>
    <row r="23" spans="1:10">
      <c r="A23" s="151" t="s">
        <v>145</v>
      </c>
      <c r="B23" s="151"/>
      <c r="C23" s="166" t="s">
        <v>218</v>
      </c>
      <c r="D23" s="167"/>
      <c r="E23" s="168"/>
    </row>
    <row r="24" spans="1:10">
      <c r="A24" s="155" t="s">
        <v>482</v>
      </c>
      <c r="B24" s="155"/>
      <c r="C24" s="166">
        <f>LEN(A24)</f>
        <v>24</v>
      </c>
      <c r="D24" s="167"/>
      <c r="E24" s="168"/>
    </row>
    <row r="25" spans="1:10">
      <c r="A25" s="155" t="s">
        <v>483</v>
      </c>
      <c r="B25" s="155"/>
      <c r="C25" s="166">
        <f>LEN(A25)</f>
        <v>30</v>
      </c>
      <c r="D25" s="167"/>
      <c r="E25" s="168"/>
    </row>
  </sheetData>
  <mergeCells count="23">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 ref="A1:B1"/>
    <mergeCell ref="A15:B15"/>
    <mergeCell ref="C15:D15"/>
    <mergeCell ref="E15:F15"/>
    <mergeCell ref="A16:B16"/>
    <mergeCell ref="C16:D16"/>
    <mergeCell ref="E16:F16"/>
    <mergeCell ref="A4:J5"/>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topLeftCell="A7" zoomScale="90" zoomScaleNormal="90" workbookViewId="0">
      <selection activeCell="E28" sqref="E28:G28"/>
    </sheetView>
  </sheetViews>
  <sheetFormatPr defaultRowHeight="14.4"/>
  <cols>
    <col min="1" max="2" width="12.6640625" customWidth="1"/>
    <col min="3" max="3" width="10.109375" customWidth="1"/>
    <col min="4" max="4" width="15.5546875" customWidth="1"/>
    <col min="5" max="5" width="9.6640625" customWidth="1"/>
    <col min="6" max="6" width="11"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152</v>
      </c>
      <c r="B1" s="170"/>
      <c r="C1" s="98"/>
      <c r="D1" s="73"/>
      <c r="E1" s="73"/>
      <c r="F1" s="73"/>
      <c r="G1" s="73"/>
      <c r="H1" s="73"/>
      <c r="I1" s="73"/>
      <c r="J1" s="73"/>
      <c r="K1" s="73"/>
      <c r="L1" s="73"/>
    </row>
    <row r="2" spans="1:12" ht="15" thickTop="1"/>
    <row r="3" spans="1:12" ht="18">
      <c r="A3" s="71" t="s">
        <v>204</v>
      </c>
    </row>
    <row r="4" spans="1:12" ht="15" customHeight="1">
      <c r="A4" s="171" t="s">
        <v>488</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
      <c r="A7" s="71" t="s">
        <v>24</v>
      </c>
    </row>
    <row r="8" spans="1:12" ht="15.6">
      <c r="A8" s="76" t="s">
        <v>486</v>
      </c>
    </row>
    <row r="10" spans="1:12" ht="15.6">
      <c r="A10" s="70" t="s">
        <v>145</v>
      </c>
    </row>
    <row r="11" spans="1:12">
      <c r="A11" t="s">
        <v>500</v>
      </c>
    </row>
    <row r="13" spans="1:12" ht="15.6">
      <c r="A13" s="70" t="s">
        <v>487</v>
      </c>
    </row>
    <row r="14" spans="1:12">
      <c r="A14" t="s">
        <v>501</v>
      </c>
    </row>
    <row r="16" spans="1:12" ht="15.6">
      <c r="A16" s="70" t="s">
        <v>48</v>
      </c>
    </row>
    <row r="17" spans="1:10">
      <c r="A17" s="101" t="s">
        <v>489</v>
      </c>
    </row>
    <row r="18" spans="1:10">
      <c r="A18" s="151" t="s">
        <v>145</v>
      </c>
      <c r="B18" s="151"/>
      <c r="C18" s="151" t="s">
        <v>49</v>
      </c>
      <c r="D18" s="151"/>
      <c r="E18" s="166" t="s">
        <v>218</v>
      </c>
      <c r="F18" s="168"/>
    </row>
    <row r="19" spans="1:10">
      <c r="A19" s="155" t="s">
        <v>446</v>
      </c>
      <c r="B19" s="155"/>
      <c r="C19" s="155" t="str">
        <f>LEFT(A19,5)</f>
        <v>Lapto</v>
      </c>
      <c r="D19" s="155"/>
      <c r="E19" s="152" t="s">
        <v>491</v>
      </c>
      <c r="F19" s="154"/>
    </row>
    <row r="20" spans="1:10" ht="15" customHeight="1">
      <c r="A20" s="155" t="s">
        <v>490</v>
      </c>
      <c r="B20" s="155"/>
      <c r="C20" s="155" t="str">
        <f>LEFT(A20,8)</f>
        <v>EXCEL IS</v>
      </c>
      <c r="D20" s="155"/>
      <c r="E20" s="152" t="s">
        <v>492</v>
      </c>
      <c r="F20" s="154"/>
    </row>
    <row r="21" spans="1:10">
      <c r="A21" s="155" t="s">
        <v>477</v>
      </c>
      <c r="B21" s="155"/>
      <c r="C21" s="155" t="str">
        <f>LEFT(A21,15)</f>
        <v>SUPERSTORE IS C</v>
      </c>
      <c r="D21" s="155"/>
      <c r="E21" s="152" t="s">
        <v>493</v>
      </c>
      <c r="F21" s="154"/>
    </row>
    <row r="22" spans="1:10">
      <c r="A22" s="155">
        <v>90</v>
      </c>
      <c r="B22" s="155"/>
      <c r="C22" s="155" t="str">
        <f>LEFT(A22,1)</f>
        <v>9</v>
      </c>
      <c r="D22" s="155"/>
      <c r="E22" s="152" t="s">
        <v>494</v>
      </c>
      <c r="F22" s="154"/>
    </row>
    <row r="23" spans="1:10">
      <c r="A23" s="155" t="s">
        <v>477</v>
      </c>
      <c r="B23" s="155"/>
      <c r="C23" s="155" t="str">
        <f>LEFT(A23,LEN(A23)-7)</f>
        <v>SUPERSTORE IS C</v>
      </c>
      <c r="D23" s="155"/>
      <c r="E23" s="152" t="s">
        <v>544</v>
      </c>
      <c r="F23" s="154"/>
    </row>
    <row r="24" spans="1:10">
      <c r="A24" s="69"/>
      <c r="B24" s="69"/>
      <c r="C24" s="69"/>
      <c r="D24" s="69"/>
    </row>
    <row r="25" spans="1:10" ht="15.6">
      <c r="A25" s="70" t="s">
        <v>455</v>
      </c>
    </row>
    <row r="26" spans="1:10" ht="15" customHeight="1">
      <c r="A26" s="101" t="s">
        <v>497</v>
      </c>
      <c r="B26" s="81"/>
      <c r="C26" s="81"/>
      <c r="D26" s="81"/>
      <c r="E26" s="81"/>
      <c r="F26" s="81"/>
      <c r="G26" s="81"/>
      <c r="H26" s="81"/>
      <c r="I26" s="81"/>
      <c r="J26" s="81"/>
    </row>
    <row r="27" spans="1:10">
      <c r="A27" s="151" t="s">
        <v>145</v>
      </c>
      <c r="B27" s="151"/>
      <c r="C27" s="173" t="s">
        <v>49</v>
      </c>
      <c r="D27" s="173"/>
      <c r="E27" s="166" t="s">
        <v>218</v>
      </c>
      <c r="F27" s="167"/>
      <c r="G27" s="168"/>
    </row>
    <row r="28" spans="1:10">
      <c r="A28" s="155" t="s">
        <v>482</v>
      </c>
      <c r="B28" s="155"/>
      <c r="C28" s="155" t="s">
        <v>495</v>
      </c>
      <c r="D28" s="155"/>
      <c r="E28" s="166" t="str">
        <f>LEFT(A28,19)</f>
        <v>Phone Number is +(0</v>
      </c>
      <c r="F28" s="167"/>
      <c r="G28" s="168"/>
    </row>
    <row r="29" spans="1:10">
      <c r="A29" s="155" t="s">
        <v>483</v>
      </c>
      <c r="B29" s="155"/>
      <c r="C29" s="155" t="s">
        <v>496</v>
      </c>
      <c r="D29" s="155"/>
      <c r="E29" s="166" t="str">
        <f>LEFT(A29,25)</f>
        <v>This is used for data cle</v>
      </c>
      <c r="F29" s="167"/>
      <c r="G29" s="168"/>
    </row>
    <row r="31" spans="1:10" ht="15.6">
      <c r="A31" s="70" t="s">
        <v>456</v>
      </c>
    </row>
    <row r="32" spans="1:10" ht="15" customHeight="1">
      <c r="A32" s="101" t="s">
        <v>545</v>
      </c>
      <c r="B32" s="81"/>
      <c r="C32" s="81"/>
      <c r="D32" s="81"/>
      <c r="E32" s="81"/>
      <c r="F32" s="81"/>
      <c r="G32" s="81"/>
      <c r="H32" s="81"/>
      <c r="I32" s="81"/>
      <c r="J32" s="81"/>
    </row>
    <row r="33" spans="1:7">
      <c r="A33" s="151" t="s">
        <v>145</v>
      </c>
      <c r="B33" s="151"/>
      <c r="C33" s="173" t="s">
        <v>49</v>
      </c>
      <c r="D33" s="173"/>
      <c r="E33" s="166" t="s">
        <v>218</v>
      </c>
      <c r="F33" s="167"/>
      <c r="G33" s="168"/>
    </row>
    <row r="34" spans="1:7">
      <c r="A34" s="155" t="s">
        <v>482</v>
      </c>
      <c r="B34" s="155"/>
      <c r="C34" s="155" t="s">
        <v>495</v>
      </c>
      <c r="D34" s="155"/>
      <c r="E34" s="166" t="str">
        <f>LEFT(A34,LEN(A34)-5)</f>
        <v>Phone Number is +(0</v>
      </c>
      <c r="F34" s="167"/>
      <c r="G34" s="168"/>
    </row>
    <row r="35" spans="1:7">
      <c r="A35" s="155" t="s">
        <v>483</v>
      </c>
      <c r="B35" s="155"/>
      <c r="C35" s="155" t="s">
        <v>496</v>
      </c>
      <c r="D35" s="155"/>
      <c r="E35" s="166" t="str">
        <f>LEFT(A35,LEN(A35)-5)</f>
        <v>This is used for data cle</v>
      </c>
      <c r="F35" s="167"/>
      <c r="G35" s="168"/>
    </row>
  </sheetData>
  <mergeCells count="38">
    <mergeCell ref="A34:B34"/>
    <mergeCell ref="C34:D34"/>
    <mergeCell ref="E34:G34"/>
    <mergeCell ref="A35:B35"/>
    <mergeCell ref="C35:D35"/>
    <mergeCell ref="E35:G35"/>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1:B1"/>
    <mergeCell ref="A4:J5"/>
    <mergeCell ref="A18:B18"/>
    <mergeCell ref="C18:D18"/>
    <mergeCell ref="E18:F18"/>
    <mergeCell ref="A19:B19"/>
    <mergeCell ref="C19:D19"/>
    <mergeCell ref="E19:F19"/>
    <mergeCell ref="A23:B23"/>
    <mergeCell ref="C23:D23"/>
    <mergeCell ref="E23:F23"/>
    <mergeCell ref="A20:B20"/>
    <mergeCell ref="C20:D20"/>
    <mergeCell ref="E20:F20"/>
    <mergeCell ref="A21:B21"/>
    <mergeCell ref="C21:D21"/>
    <mergeCell ref="E21:F21"/>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7" zoomScale="90" zoomScaleNormal="90" workbookViewId="0">
      <selection activeCell="E34" sqref="E34:G35"/>
    </sheetView>
  </sheetViews>
  <sheetFormatPr defaultRowHeight="14.4"/>
  <cols>
    <col min="1" max="2" width="12.6640625" customWidth="1"/>
    <col min="3" max="3" width="10.109375" customWidth="1"/>
    <col min="4" max="4" width="15.5546875" customWidth="1"/>
    <col min="5" max="6" width="12.332031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167</v>
      </c>
      <c r="B1" s="170"/>
      <c r="C1" s="98"/>
      <c r="D1" s="73"/>
      <c r="E1" s="73"/>
      <c r="F1" s="73"/>
      <c r="G1" s="73"/>
      <c r="H1" s="73"/>
      <c r="I1" s="73"/>
      <c r="J1" s="73"/>
      <c r="K1" s="73"/>
      <c r="L1" s="73"/>
    </row>
    <row r="2" spans="1:12" ht="15" thickTop="1"/>
    <row r="3" spans="1:12" ht="18">
      <c r="A3" s="71" t="s">
        <v>204</v>
      </c>
    </row>
    <row r="4" spans="1:12" ht="15" customHeight="1">
      <c r="A4" s="171" t="s">
        <v>499</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
      <c r="A7" s="71" t="s">
        <v>24</v>
      </c>
    </row>
    <row r="8" spans="1:12" ht="15.6">
      <c r="A8" s="76" t="s">
        <v>498</v>
      </c>
    </row>
    <row r="10" spans="1:12" ht="15.6">
      <c r="A10" s="70" t="s">
        <v>145</v>
      </c>
    </row>
    <row r="11" spans="1:12">
      <c r="A11" t="s">
        <v>500</v>
      </c>
    </row>
    <row r="13" spans="1:12" ht="15.6">
      <c r="A13" s="70" t="s">
        <v>487</v>
      </c>
    </row>
    <row r="14" spans="1:12">
      <c r="A14" t="s">
        <v>501</v>
      </c>
    </row>
    <row r="16" spans="1:12" ht="15.6">
      <c r="A16" s="70" t="s">
        <v>48</v>
      </c>
    </row>
    <row r="17" spans="1:10">
      <c r="A17" s="101" t="s">
        <v>502</v>
      </c>
    </row>
    <row r="18" spans="1:10">
      <c r="A18" s="151" t="s">
        <v>145</v>
      </c>
      <c r="B18" s="151"/>
      <c r="C18" s="151" t="s">
        <v>49</v>
      </c>
      <c r="D18" s="151"/>
      <c r="E18" s="166" t="s">
        <v>218</v>
      </c>
      <c r="F18" s="168"/>
    </row>
    <row r="19" spans="1:10">
      <c r="A19" s="155" t="s">
        <v>446</v>
      </c>
      <c r="B19" s="155"/>
      <c r="C19" s="155" t="str">
        <f>RIGHT(A19,3)</f>
        <v>top</v>
      </c>
      <c r="D19" s="155"/>
      <c r="E19" s="152" t="s">
        <v>503</v>
      </c>
      <c r="F19" s="154"/>
    </row>
    <row r="20" spans="1:10" ht="15" customHeight="1">
      <c r="A20" s="155" t="s">
        <v>490</v>
      </c>
      <c r="B20" s="155"/>
      <c r="C20" s="155" t="str">
        <f>RIGHT(A20,4)</f>
        <v xml:space="preserve"> WOW</v>
      </c>
      <c r="D20" s="155"/>
      <c r="E20" s="152" t="s">
        <v>504</v>
      </c>
      <c r="F20" s="154"/>
    </row>
    <row r="21" spans="1:10">
      <c r="A21" s="155" t="s">
        <v>477</v>
      </c>
      <c r="B21" s="155"/>
      <c r="C21" s="155" t="str">
        <f>RIGHT(A21,6)</f>
        <v>OSED ;</v>
      </c>
      <c r="D21" s="155"/>
      <c r="E21" s="152" t="s">
        <v>505</v>
      </c>
      <c r="F21" s="154"/>
    </row>
    <row r="22" spans="1:10">
      <c r="A22" s="155">
        <v>90</v>
      </c>
      <c r="B22" s="155"/>
      <c r="C22" s="155" t="str">
        <f>RIGHT(A22,1)</f>
        <v>0</v>
      </c>
      <c r="D22" s="155"/>
      <c r="E22" s="152" t="s">
        <v>506</v>
      </c>
      <c r="F22" s="154"/>
    </row>
    <row r="23" spans="1:10">
      <c r="A23" s="155" t="s">
        <v>477</v>
      </c>
      <c r="B23" s="155"/>
      <c r="C23" s="155" t="str">
        <f>RIGHT(A23,LEN(A23)-16)</f>
        <v>OSED ;</v>
      </c>
      <c r="D23" s="155"/>
      <c r="E23" s="152" t="s">
        <v>547</v>
      </c>
      <c r="F23" s="154"/>
    </row>
    <row r="24" spans="1:10">
      <c r="A24" s="69"/>
      <c r="B24" s="69"/>
      <c r="C24" s="69"/>
      <c r="D24" s="69"/>
    </row>
    <row r="25" spans="1:10" ht="15.6">
      <c r="A25" s="70" t="s">
        <v>455</v>
      </c>
    </row>
    <row r="26" spans="1:10" ht="15" customHeight="1">
      <c r="A26" s="101" t="s">
        <v>507</v>
      </c>
      <c r="B26" s="81"/>
      <c r="C26" s="81"/>
      <c r="D26" s="81"/>
      <c r="E26" s="81"/>
      <c r="F26" s="81"/>
      <c r="G26" s="81"/>
      <c r="H26" s="81"/>
      <c r="I26" s="81"/>
      <c r="J26" s="81"/>
    </row>
    <row r="27" spans="1:10">
      <c r="A27" s="151" t="s">
        <v>145</v>
      </c>
      <c r="B27" s="151"/>
      <c r="C27" s="173" t="s">
        <v>49</v>
      </c>
      <c r="D27" s="173"/>
      <c r="E27" s="166" t="s">
        <v>218</v>
      </c>
      <c r="F27" s="167"/>
      <c r="G27" s="168"/>
    </row>
    <row r="28" spans="1:10">
      <c r="A28" s="155" t="s">
        <v>482</v>
      </c>
      <c r="B28" s="155"/>
      <c r="C28" s="155" t="s">
        <v>509</v>
      </c>
      <c r="D28" s="155"/>
      <c r="E28" s="166" t="str">
        <f>RIGHT(A28,11)</f>
        <v>is +(0)1234</v>
      </c>
      <c r="F28" s="167"/>
      <c r="G28" s="168"/>
    </row>
    <row r="29" spans="1:10">
      <c r="A29" s="155" t="s">
        <v>483</v>
      </c>
      <c r="B29" s="155"/>
      <c r="C29" s="155" t="s">
        <v>508</v>
      </c>
      <c r="D29" s="155"/>
      <c r="E29" s="166" t="str">
        <f>RIGHT(A29,13)</f>
        <v>data cleaning</v>
      </c>
      <c r="F29" s="167"/>
      <c r="G29" s="168"/>
    </row>
    <row r="31" spans="1:10" ht="15.6">
      <c r="A31" s="70" t="s">
        <v>456</v>
      </c>
    </row>
    <row r="32" spans="1:10" ht="15" customHeight="1">
      <c r="A32" s="101" t="s">
        <v>546</v>
      </c>
      <c r="B32" s="81"/>
      <c r="C32" s="81"/>
      <c r="D32" s="81"/>
      <c r="E32" s="81"/>
      <c r="F32" s="81"/>
      <c r="G32" s="81"/>
      <c r="H32" s="81"/>
      <c r="I32" s="81"/>
      <c r="J32" s="81"/>
    </row>
    <row r="33" spans="1:7">
      <c r="A33" s="151" t="s">
        <v>145</v>
      </c>
      <c r="B33" s="151"/>
      <c r="C33" s="173" t="s">
        <v>49</v>
      </c>
      <c r="D33" s="173"/>
      <c r="E33" s="166" t="s">
        <v>218</v>
      </c>
      <c r="F33" s="167"/>
      <c r="G33" s="168"/>
    </row>
    <row r="34" spans="1:7">
      <c r="A34" s="155" t="s">
        <v>482</v>
      </c>
      <c r="B34" s="155"/>
      <c r="C34" s="155" t="s">
        <v>510</v>
      </c>
      <c r="D34" s="155"/>
      <c r="E34" s="166" t="str">
        <f>RIGHT(A34,LEN(A34) - 5)</f>
        <v xml:space="preserve"> Number is +(0)1234</v>
      </c>
      <c r="F34" s="167"/>
      <c r="G34" s="168"/>
    </row>
    <row r="35" spans="1:7">
      <c r="A35" s="155" t="s">
        <v>483</v>
      </c>
      <c r="B35" s="155"/>
      <c r="C35" s="155" t="s">
        <v>511</v>
      </c>
      <c r="D35" s="155"/>
      <c r="E35" s="166" t="str">
        <f>RIGHT(A35,LEN(A35) - 5)</f>
        <v>is used for data cleaning</v>
      </c>
      <c r="F35" s="167"/>
      <c r="G35" s="168"/>
    </row>
  </sheetData>
  <mergeCells count="38">
    <mergeCell ref="A19:B19"/>
    <mergeCell ref="C19:D19"/>
    <mergeCell ref="E19:F19"/>
    <mergeCell ref="A1:B1"/>
    <mergeCell ref="A4:J5"/>
    <mergeCell ref="A18:B18"/>
    <mergeCell ref="C18:D18"/>
    <mergeCell ref="E18:F18"/>
    <mergeCell ref="A20:B20"/>
    <mergeCell ref="C20:D20"/>
    <mergeCell ref="E20:F20"/>
    <mergeCell ref="A21:B21"/>
    <mergeCell ref="C21:D21"/>
    <mergeCell ref="E21:F21"/>
    <mergeCell ref="C29:D29"/>
    <mergeCell ref="E29:G29"/>
    <mergeCell ref="A22:B22"/>
    <mergeCell ref="C22:D22"/>
    <mergeCell ref="E22:F22"/>
    <mergeCell ref="A27:B27"/>
    <mergeCell ref="C27:D27"/>
    <mergeCell ref="E27:G27"/>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7" zoomScale="90" zoomScaleNormal="90" workbookViewId="0">
      <selection activeCell="E34" sqref="E34"/>
    </sheetView>
  </sheetViews>
  <sheetFormatPr defaultRowHeight="14.4"/>
  <cols>
    <col min="1" max="2" width="12.6640625" customWidth="1"/>
    <col min="3" max="3" width="10.109375" customWidth="1"/>
    <col min="4" max="4" width="15.5546875" customWidth="1"/>
    <col min="5" max="5" width="9.6640625" customWidth="1"/>
    <col min="7" max="7" width="13.5546875" customWidth="1"/>
    <col min="9" max="9" width="10.109375" customWidth="1"/>
    <col min="10" max="10" width="12.109375" customWidth="1"/>
    <col min="11" max="11" width="11.33203125" customWidth="1"/>
    <col min="12" max="12" width="10.109375" customWidth="1"/>
  </cols>
  <sheetData>
    <row r="1" spans="1:12" ht="31.8" thickBot="1">
      <c r="A1" s="170" t="s">
        <v>168</v>
      </c>
      <c r="B1" s="170"/>
      <c r="C1" s="98"/>
      <c r="D1" s="73"/>
      <c r="E1" s="73"/>
      <c r="F1" s="73"/>
      <c r="G1" s="73"/>
      <c r="H1" s="73"/>
      <c r="I1" s="73"/>
      <c r="J1" s="73"/>
      <c r="K1" s="73"/>
      <c r="L1" s="73"/>
    </row>
    <row r="2" spans="1:12" ht="15" thickTop="1"/>
    <row r="3" spans="1:12" ht="18">
      <c r="A3" s="71" t="s">
        <v>204</v>
      </c>
    </row>
    <row r="4" spans="1:12" ht="15" customHeight="1">
      <c r="A4" s="171" t="s">
        <v>514</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
      <c r="A7" s="71" t="s">
        <v>24</v>
      </c>
    </row>
    <row r="8" spans="1:12" ht="15.6">
      <c r="A8" s="76" t="s">
        <v>512</v>
      </c>
    </row>
    <row r="10" spans="1:12" ht="15.6">
      <c r="A10" s="70" t="s">
        <v>145</v>
      </c>
    </row>
    <row r="11" spans="1:12">
      <c r="A11" t="s">
        <v>500</v>
      </c>
    </row>
    <row r="13" spans="1:12" ht="15.6">
      <c r="A13" s="70" t="s">
        <v>513</v>
      </c>
    </row>
    <row r="14" spans="1:12">
      <c r="A14" t="s">
        <v>515</v>
      </c>
    </row>
    <row r="16" spans="1:12" ht="15.6">
      <c r="A16" s="70" t="s">
        <v>487</v>
      </c>
    </row>
    <row r="17" spans="1:10">
      <c r="A17" t="s">
        <v>516</v>
      </c>
    </row>
    <row r="19" spans="1:10" ht="15.6">
      <c r="A19" s="70" t="s">
        <v>48</v>
      </c>
    </row>
    <row r="20" spans="1:10">
      <c r="A20" s="101" t="s">
        <v>502</v>
      </c>
    </row>
    <row r="21" spans="1:10">
      <c r="A21" s="151" t="s">
        <v>145</v>
      </c>
      <c r="B21" s="151"/>
      <c r="C21" s="151" t="s">
        <v>49</v>
      </c>
      <c r="D21" s="151"/>
      <c r="E21" s="166" t="s">
        <v>218</v>
      </c>
      <c r="F21" s="168"/>
    </row>
    <row r="22" spans="1:10">
      <c r="A22" s="155" t="s">
        <v>517</v>
      </c>
      <c r="B22" s="155"/>
      <c r="C22" s="155" t="str">
        <f>MID(A22,4,6)</f>
        <v>top re</v>
      </c>
      <c r="D22" s="155"/>
      <c r="E22" s="152" t="s">
        <v>519</v>
      </c>
      <c r="F22" s="154"/>
    </row>
    <row r="23" spans="1:10" ht="15" customHeight="1">
      <c r="A23" s="155" t="s">
        <v>490</v>
      </c>
      <c r="B23" s="155"/>
      <c r="C23" s="155" t="str">
        <f>MID(A23,2,9)</f>
        <v>XCEL IS W</v>
      </c>
      <c r="D23" s="155"/>
      <c r="E23" s="152" t="s">
        <v>520</v>
      </c>
      <c r="F23" s="154"/>
    </row>
    <row r="24" spans="1:10">
      <c r="A24" s="155" t="s">
        <v>477</v>
      </c>
      <c r="B24" s="155"/>
      <c r="C24" s="155" t="str">
        <f>MID(A24,10,9)</f>
        <v>E IS CLOS</v>
      </c>
      <c r="D24" s="155"/>
      <c r="E24" s="152" t="s">
        <v>521</v>
      </c>
      <c r="F24" s="154"/>
    </row>
    <row r="25" spans="1:10">
      <c r="A25" s="155" t="s">
        <v>518</v>
      </c>
      <c r="B25" s="155"/>
      <c r="C25" s="155" t="str">
        <f>MID(A25,2,6)</f>
        <v>0 EMPL</v>
      </c>
      <c r="D25" s="155"/>
      <c r="E25" s="152" t="s">
        <v>522</v>
      </c>
      <c r="F25" s="154"/>
    </row>
    <row r="26" spans="1:10">
      <c r="A26" s="69"/>
      <c r="B26" s="69"/>
      <c r="C26" s="69"/>
      <c r="D26" s="69"/>
    </row>
    <row r="27" spans="1:10" ht="15.6">
      <c r="A27" s="70" t="s">
        <v>236</v>
      </c>
    </row>
    <row r="28" spans="1:10" ht="15" customHeight="1">
      <c r="A28" s="101" t="s">
        <v>523</v>
      </c>
      <c r="B28" s="81"/>
      <c r="C28" s="81"/>
      <c r="D28" s="81"/>
      <c r="E28" s="81"/>
      <c r="F28" s="81"/>
      <c r="G28" s="81"/>
      <c r="H28" s="81"/>
      <c r="I28" s="81"/>
      <c r="J28" s="81"/>
    </row>
    <row r="29" spans="1:10">
      <c r="A29" s="151" t="s">
        <v>145</v>
      </c>
      <c r="B29" s="151"/>
      <c r="C29" s="173" t="s">
        <v>49</v>
      </c>
      <c r="D29" s="173"/>
      <c r="E29" s="166" t="s">
        <v>218</v>
      </c>
      <c r="F29" s="167"/>
      <c r="G29" s="168"/>
    </row>
    <row r="30" spans="1:10">
      <c r="A30" s="155" t="s">
        <v>482</v>
      </c>
      <c r="B30" s="155"/>
      <c r="C30" s="155" t="s">
        <v>526</v>
      </c>
      <c r="D30" s="155"/>
      <c r="E30" s="166" t="str">
        <f>MID(A30,14,8)</f>
        <v>is +(0)1</v>
      </c>
      <c r="F30" s="167"/>
      <c r="G30" s="168"/>
    </row>
    <row r="31" spans="1:10">
      <c r="A31" s="155" t="s">
        <v>483</v>
      </c>
      <c r="B31" s="155"/>
      <c r="C31" s="155" t="s">
        <v>527</v>
      </c>
      <c r="D31" s="155"/>
      <c r="E31" s="166" t="str">
        <f>MID(A31,14,14)</f>
        <v>for data clean</v>
      </c>
      <c r="F31" s="167"/>
      <c r="G31" s="168"/>
    </row>
    <row r="32" spans="1:10">
      <c r="A32" s="155" t="s">
        <v>524</v>
      </c>
      <c r="B32" s="155"/>
      <c r="C32" s="155" t="s">
        <v>528</v>
      </c>
      <c r="D32" s="155"/>
      <c r="E32" s="166" t="str">
        <f>MID(A32,10,3)</f>
        <v>you</v>
      </c>
      <c r="F32" s="167"/>
      <c r="G32" s="168"/>
    </row>
    <row r="33" spans="1:7">
      <c r="A33" s="155" t="s">
        <v>525</v>
      </c>
      <c r="B33" s="155"/>
      <c r="C33" s="155" t="s">
        <v>529</v>
      </c>
      <c r="D33" s="155"/>
      <c r="E33" s="166" t="str">
        <f>MID(A33,5,5)</f>
        <v>quest</v>
      </c>
      <c r="F33" s="167"/>
      <c r="G33" s="168"/>
    </row>
  </sheetData>
  <mergeCells count="32">
    <mergeCell ref="A22:B22"/>
    <mergeCell ref="C22:D22"/>
    <mergeCell ref="E22:F22"/>
    <mergeCell ref="A1:B1"/>
    <mergeCell ref="A4:J5"/>
    <mergeCell ref="A21:B21"/>
    <mergeCell ref="C21:D21"/>
    <mergeCell ref="E21:F21"/>
    <mergeCell ref="A23:B23"/>
    <mergeCell ref="C23:D23"/>
    <mergeCell ref="E23:F23"/>
    <mergeCell ref="A24:B24"/>
    <mergeCell ref="C24:D24"/>
    <mergeCell ref="E24:F24"/>
    <mergeCell ref="A25:B25"/>
    <mergeCell ref="C25:D25"/>
    <mergeCell ref="E25:F25"/>
    <mergeCell ref="A29:B29"/>
    <mergeCell ref="C29:D29"/>
    <mergeCell ref="E29:G29"/>
    <mergeCell ref="A30:B30"/>
    <mergeCell ref="C30:D30"/>
    <mergeCell ref="E30:G30"/>
    <mergeCell ref="A31:B31"/>
    <mergeCell ref="C31:D31"/>
    <mergeCell ref="E31:G31"/>
    <mergeCell ref="A32:B32"/>
    <mergeCell ref="C32:D32"/>
    <mergeCell ref="E32:G32"/>
    <mergeCell ref="A33:B33"/>
    <mergeCell ref="C33:D33"/>
    <mergeCell ref="E33:G33"/>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16" zoomScale="90" zoomScaleNormal="90" workbookViewId="0">
      <selection activeCell="D42" sqref="D42"/>
    </sheetView>
  </sheetViews>
  <sheetFormatPr defaultRowHeight="14.4"/>
  <cols>
    <col min="1" max="2" width="12.6640625" customWidth="1"/>
    <col min="3" max="3" width="10.109375" customWidth="1"/>
    <col min="4" max="4" width="15.5546875" customWidth="1"/>
    <col min="5" max="5" width="12.33203125" customWidth="1"/>
    <col min="7" max="7" width="13.5546875" customWidth="1"/>
    <col min="8" max="8" width="11.5546875" bestFit="1" customWidth="1"/>
    <col min="9" max="9" width="10.109375" customWidth="1"/>
    <col min="10" max="10" width="12.109375" customWidth="1"/>
    <col min="11" max="11" width="11.33203125" customWidth="1"/>
    <col min="12" max="12" width="10.109375" customWidth="1"/>
  </cols>
  <sheetData>
    <row r="1" spans="1:12" ht="31.8" thickBot="1">
      <c r="A1" s="170" t="s">
        <v>170</v>
      </c>
      <c r="B1" s="170"/>
      <c r="C1" s="98"/>
      <c r="D1" s="73"/>
      <c r="E1" s="73"/>
      <c r="F1" s="73"/>
      <c r="G1" s="73"/>
      <c r="H1" s="73"/>
      <c r="I1" s="73"/>
      <c r="J1" s="73"/>
      <c r="K1" s="73"/>
      <c r="L1" s="73"/>
    </row>
    <row r="2" spans="1:12" ht="15" thickTop="1"/>
    <row r="3" spans="1:12" ht="18">
      <c r="A3" s="71" t="s">
        <v>204</v>
      </c>
    </row>
    <row r="4" spans="1:12" ht="15" customHeight="1">
      <c r="A4" s="171" t="s">
        <v>530</v>
      </c>
      <c r="B4" s="171"/>
      <c r="C4" s="171"/>
      <c r="D4" s="171"/>
      <c r="E4" s="171"/>
      <c r="F4" s="171"/>
      <c r="G4" s="171"/>
      <c r="H4" s="171"/>
      <c r="I4" s="171"/>
      <c r="J4" s="171"/>
    </row>
    <row r="5" spans="1:12">
      <c r="A5" s="171"/>
      <c r="B5" s="171"/>
      <c r="C5" s="171"/>
      <c r="D5" s="171"/>
      <c r="E5" s="171"/>
      <c r="F5" s="171"/>
      <c r="G5" s="171"/>
      <c r="H5" s="171"/>
      <c r="I5" s="171"/>
      <c r="J5" s="171"/>
    </row>
    <row r="6" spans="1:12">
      <c r="A6" s="104"/>
      <c r="B6" s="99"/>
      <c r="C6" s="99"/>
      <c r="D6" s="99"/>
      <c r="E6" s="99"/>
      <c r="F6" s="99"/>
      <c r="G6" s="99"/>
      <c r="H6" s="105"/>
      <c r="I6" s="105"/>
      <c r="J6" s="99"/>
    </row>
    <row r="7" spans="1:12" ht="18">
      <c r="A7" s="71" t="s">
        <v>24</v>
      </c>
    </row>
    <row r="8" spans="1:12" ht="15.6">
      <c r="A8" s="76" t="s">
        <v>531</v>
      </c>
    </row>
    <row r="10" spans="1:12" ht="15.6">
      <c r="A10" s="70" t="s">
        <v>349</v>
      </c>
    </row>
    <row r="11" spans="1:12">
      <c r="A11" t="s">
        <v>535</v>
      </c>
    </row>
    <row r="13" spans="1:12" ht="15.6">
      <c r="A13" s="70" t="s">
        <v>146</v>
      </c>
    </row>
    <row r="14" spans="1:12">
      <c r="A14" t="s">
        <v>533</v>
      </c>
    </row>
    <row r="16" spans="1:12" ht="15.6">
      <c r="A16" s="70" t="s">
        <v>532</v>
      </c>
    </row>
    <row r="17" spans="1:7">
      <c r="A17" t="s">
        <v>534</v>
      </c>
    </row>
    <row r="19" spans="1:7" ht="15.6">
      <c r="A19" s="70" t="s">
        <v>48</v>
      </c>
    </row>
    <row r="20" spans="1:7">
      <c r="A20" s="101" t="s">
        <v>536</v>
      </c>
    </row>
    <row r="21" spans="1:7">
      <c r="A21" s="75" t="s">
        <v>349</v>
      </c>
      <c r="B21" s="75" t="s">
        <v>146</v>
      </c>
      <c r="C21" s="75" t="s">
        <v>532</v>
      </c>
      <c r="D21" s="75" t="s">
        <v>49</v>
      </c>
      <c r="E21" s="166" t="s">
        <v>218</v>
      </c>
      <c r="F21" s="167"/>
      <c r="G21" s="168"/>
    </row>
    <row r="22" spans="1:7">
      <c r="A22" s="74">
        <v>2017</v>
      </c>
      <c r="B22" s="74">
        <v>12</v>
      </c>
      <c r="C22" s="74">
        <v>31</v>
      </c>
      <c r="D22" s="94">
        <f>DATE(A22,B22,C22)</f>
        <v>43100</v>
      </c>
      <c r="E22" s="152" t="s">
        <v>537</v>
      </c>
      <c r="F22" s="153"/>
      <c r="G22" s="154"/>
    </row>
    <row r="23" spans="1:7" ht="15" customHeight="1">
      <c r="A23" s="74">
        <v>2016</v>
      </c>
      <c r="B23" s="74">
        <v>11</v>
      </c>
      <c r="C23" s="74">
        <v>30</v>
      </c>
      <c r="D23" s="94">
        <f t="shared" ref="D23:D25" si="0">DATE(A23,B23,C23)</f>
        <v>42704</v>
      </c>
      <c r="E23" s="152" t="s">
        <v>538</v>
      </c>
      <c r="F23" s="153"/>
      <c r="G23" s="154"/>
    </row>
    <row r="24" spans="1:7">
      <c r="A24" s="74">
        <v>2015</v>
      </c>
      <c r="B24" s="74">
        <v>3</v>
      </c>
      <c r="C24" s="74">
        <v>1</v>
      </c>
      <c r="D24" s="94">
        <f t="shared" si="0"/>
        <v>42064</v>
      </c>
      <c r="E24" s="152" t="s">
        <v>539</v>
      </c>
      <c r="F24" s="153"/>
      <c r="G24" s="154"/>
    </row>
    <row r="25" spans="1:7">
      <c r="A25" s="74">
        <v>2014</v>
      </c>
      <c r="B25" s="74">
        <v>8</v>
      </c>
      <c r="C25" s="74">
        <v>1</v>
      </c>
      <c r="D25" s="94">
        <f t="shared" si="0"/>
        <v>41852</v>
      </c>
      <c r="E25" s="152" t="s">
        <v>540</v>
      </c>
      <c r="F25" s="153"/>
      <c r="G25" s="154"/>
    </row>
    <row r="26" spans="1:7">
      <c r="A26" s="69"/>
      <c r="B26" s="69"/>
      <c r="C26" s="69"/>
      <c r="D26" s="69"/>
    </row>
    <row r="27" spans="1:7" ht="15.6">
      <c r="A27" s="70" t="s">
        <v>455</v>
      </c>
    </row>
    <row r="28" spans="1:7">
      <c r="A28" s="101" t="s">
        <v>541</v>
      </c>
    </row>
    <row r="29" spans="1:7">
      <c r="A29" s="75" t="s">
        <v>349</v>
      </c>
      <c r="B29" s="75" t="s">
        <v>146</v>
      </c>
      <c r="C29" s="75" t="s">
        <v>532</v>
      </c>
      <c r="D29" s="166" t="s">
        <v>218</v>
      </c>
      <c r="E29" s="167"/>
      <c r="F29" s="168"/>
    </row>
    <row r="30" spans="1:7">
      <c r="A30" s="74">
        <v>2012</v>
      </c>
      <c r="B30" s="74">
        <v>7</v>
      </c>
      <c r="C30" s="74">
        <v>31</v>
      </c>
      <c r="D30" s="174">
        <f>DATE(A30, B30, C30)</f>
        <v>41121</v>
      </c>
      <c r="E30" s="175"/>
      <c r="F30" s="176"/>
    </row>
    <row r="31" spans="1:7" ht="15" customHeight="1">
      <c r="A31" s="74">
        <v>2011</v>
      </c>
      <c r="B31" s="74">
        <v>1</v>
      </c>
      <c r="C31" s="74">
        <v>30</v>
      </c>
      <c r="D31" s="174">
        <f t="shared" ref="D31:D33" si="1">DATE(A31, B31, C31)</f>
        <v>40573</v>
      </c>
      <c r="E31" s="175"/>
      <c r="F31" s="176"/>
    </row>
    <row r="32" spans="1:7">
      <c r="A32" s="74">
        <v>2010</v>
      </c>
      <c r="B32" s="74">
        <v>2</v>
      </c>
      <c r="C32" s="74">
        <v>1</v>
      </c>
      <c r="D32" s="174">
        <f t="shared" si="1"/>
        <v>40210</v>
      </c>
      <c r="E32" s="175"/>
      <c r="F32" s="176"/>
    </row>
    <row r="33" spans="1:6">
      <c r="A33" s="74">
        <v>2000</v>
      </c>
      <c r="B33" s="74">
        <v>5</v>
      </c>
      <c r="C33" s="74">
        <v>25</v>
      </c>
      <c r="D33" s="174">
        <f t="shared" si="1"/>
        <v>36671</v>
      </c>
      <c r="E33" s="175"/>
      <c r="F33" s="176"/>
    </row>
    <row r="35" spans="1:6" ht="15.6">
      <c r="A35" s="70" t="s">
        <v>456</v>
      </c>
    </row>
    <row r="36" spans="1:6">
      <c r="A36" s="101" t="s">
        <v>542</v>
      </c>
    </row>
    <row r="37" spans="1:6">
      <c r="A37" s="75" t="s">
        <v>305</v>
      </c>
      <c r="B37" s="75" t="s">
        <v>349</v>
      </c>
      <c r="C37" s="75" t="s">
        <v>146</v>
      </c>
      <c r="D37" s="75" t="s">
        <v>532</v>
      </c>
      <c r="E37" s="75" t="s">
        <v>144</v>
      </c>
    </row>
    <row r="38" spans="1:6">
      <c r="A38" s="74">
        <v>21122016</v>
      </c>
      <c r="B38" s="106" t="str">
        <f>RIGHT(A38, 4)</f>
        <v>2016</v>
      </c>
      <c r="C38" s="106" t="str">
        <f>MID(A38, 3, 2)</f>
        <v>12</v>
      </c>
      <c r="D38" s="106" t="str">
        <f>LEFT(A40,2)</f>
        <v>15</v>
      </c>
      <c r="E38" s="94">
        <f>DATE(B38,C38,D38)</f>
        <v>42719</v>
      </c>
    </row>
    <row r="39" spans="1:6">
      <c r="A39" s="74">
        <v>13122000</v>
      </c>
      <c r="B39" s="106" t="str">
        <f t="shared" ref="B39:B41" si="2">RIGHT(A39, 4)</f>
        <v>2000</v>
      </c>
      <c r="C39" s="106" t="str">
        <f t="shared" ref="C39:C41" si="3">MID(A39, 3, 2)</f>
        <v>12</v>
      </c>
      <c r="D39" s="106" t="str">
        <f t="shared" ref="D39" si="4">LEFT(A41,2)</f>
        <v>10</v>
      </c>
      <c r="E39" s="94">
        <f t="shared" ref="E39:E41" si="5">DATE(B39,C39,D39)</f>
        <v>36870</v>
      </c>
    </row>
    <row r="40" spans="1:6">
      <c r="A40" s="74">
        <v>15011999</v>
      </c>
      <c r="B40" s="106" t="str">
        <f t="shared" si="2"/>
        <v>1999</v>
      </c>
      <c r="C40" s="106" t="str">
        <f t="shared" si="3"/>
        <v>01</v>
      </c>
      <c r="D40" s="106" t="str">
        <f>LEFT(A40,2)</f>
        <v>15</v>
      </c>
      <c r="E40" s="94">
        <f t="shared" si="5"/>
        <v>36175</v>
      </c>
    </row>
    <row r="41" spans="1:6">
      <c r="A41" s="74">
        <v>10102010</v>
      </c>
      <c r="B41" s="106" t="str">
        <f t="shared" si="2"/>
        <v>2010</v>
      </c>
      <c r="C41" s="106" t="str">
        <f t="shared" si="3"/>
        <v>10</v>
      </c>
      <c r="D41" s="106" t="str">
        <f>LEFT(A41,2)</f>
        <v>10</v>
      </c>
      <c r="E41" s="94">
        <f t="shared" si="5"/>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zoomScale="90" zoomScaleNormal="90" workbookViewId="0">
      <selection activeCell="F26" sqref="F26"/>
    </sheetView>
  </sheetViews>
  <sheetFormatPr defaultRowHeight="14.4"/>
  <cols>
    <col min="1" max="2" width="12.6640625" customWidth="1"/>
    <col min="3" max="3" width="10.109375" customWidth="1"/>
    <col min="4" max="4" width="12.332031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171</v>
      </c>
      <c r="B1" s="170"/>
      <c r="C1" s="98"/>
      <c r="D1" s="73"/>
      <c r="E1" s="73"/>
      <c r="F1" s="73"/>
      <c r="G1" s="73"/>
      <c r="H1" s="73"/>
      <c r="I1" s="73"/>
      <c r="J1" s="73"/>
      <c r="K1" s="73"/>
    </row>
    <row r="2" spans="1:11" ht="15" thickTop="1"/>
    <row r="3" spans="1:11" ht="18">
      <c r="A3" s="71" t="s">
        <v>204</v>
      </c>
    </row>
    <row r="4" spans="1:11" ht="15" customHeight="1">
      <c r="A4" s="171" t="s">
        <v>543</v>
      </c>
      <c r="B4" s="171"/>
      <c r="C4" s="171"/>
      <c r="D4" s="171"/>
      <c r="E4" s="171"/>
      <c r="F4" s="171"/>
      <c r="G4" s="171"/>
      <c r="H4" s="171"/>
      <c r="I4" s="171"/>
    </row>
    <row r="5" spans="1:11">
      <c r="A5" s="104"/>
      <c r="B5" s="99"/>
      <c r="C5" s="99"/>
      <c r="D5" s="99"/>
      <c r="E5" s="99"/>
      <c r="F5" s="99"/>
      <c r="G5" s="105"/>
      <c r="H5" s="105"/>
      <c r="I5" s="99"/>
    </row>
    <row r="6" spans="1:11" ht="18">
      <c r="A6" s="71" t="s">
        <v>24</v>
      </c>
    </row>
    <row r="7" spans="1:11" ht="15.6">
      <c r="A7" s="76" t="s">
        <v>548</v>
      </c>
    </row>
    <row r="9" spans="1:11" ht="15.6">
      <c r="A9" s="70" t="s">
        <v>549</v>
      </c>
    </row>
    <row r="10" spans="1:11">
      <c r="A10" t="s">
        <v>550</v>
      </c>
    </row>
    <row r="12" spans="1:11" ht="15.6">
      <c r="A12" s="70" t="s">
        <v>48</v>
      </c>
    </row>
    <row r="13" spans="1:11">
      <c r="A13" s="101" t="s">
        <v>536</v>
      </c>
    </row>
    <row r="14" spans="1:11">
      <c r="A14" s="75" t="s">
        <v>552</v>
      </c>
      <c r="B14" s="75" t="s">
        <v>49</v>
      </c>
      <c r="C14" s="166" t="s">
        <v>218</v>
      </c>
      <c r="D14" s="168"/>
    </row>
    <row r="15" spans="1:11">
      <c r="A15" s="107" t="s">
        <v>1054</v>
      </c>
      <c r="B15" s="74">
        <f t="shared" ref="B15:B18" si="0">DATEVALUE(A15)</f>
        <v>42860</v>
      </c>
      <c r="C15" s="152" t="s">
        <v>1056</v>
      </c>
      <c r="D15" s="154"/>
    </row>
    <row r="16" spans="1:11" ht="15" customHeight="1">
      <c r="A16" s="107" t="s">
        <v>1055</v>
      </c>
      <c r="B16" s="74">
        <f t="shared" si="0"/>
        <v>43436</v>
      </c>
      <c r="C16" s="152" t="s">
        <v>553</v>
      </c>
      <c r="D16" s="154"/>
    </row>
    <row r="17" spans="1:4">
      <c r="A17" s="107" t="s">
        <v>551</v>
      </c>
      <c r="B17" s="74">
        <f t="shared" si="0"/>
        <v>42064</v>
      </c>
      <c r="C17" s="152" t="s">
        <v>554</v>
      </c>
      <c r="D17" s="154"/>
    </row>
    <row r="18" spans="1:4">
      <c r="A18" s="107" t="s">
        <v>1053</v>
      </c>
      <c r="B18" s="74">
        <f t="shared" si="0"/>
        <v>41853</v>
      </c>
      <c r="C18" s="152" t="s">
        <v>555</v>
      </c>
      <c r="D18" s="154"/>
    </row>
    <row r="19" spans="1:4">
      <c r="A19" s="69"/>
      <c r="B19" s="69"/>
      <c r="C19" s="69"/>
    </row>
    <row r="20" spans="1:4" ht="15.6">
      <c r="A20" s="70" t="s">
        <v>236</v>
      </c>
    </row>
    <row r="21" spans="1:4">
      <c r="A21" s="101" t="s">
        <v>556</v>
      </c>
    </row>
    <row r="22" spans="1:4">
      <c r="A22" s="75" t="s">
        <v>552</v>
      </c>
      <c r="B22" s="151" t="s">
        <v>49</v>
      </c>
      <c r="C22" s="151"/>
    </row>
    <row r="23" spans="1:4">
      <c r="A23" s="107" t="s">
        <v>557</v>
      </c>
      <c r="B23" s="177">
        <f>DATEVALUE(A23)</f>
        <v>42369</v>
      </c>
      <c r="C23" s="177"/>
    </row>
    <row r="24" spans="1:4" ht="15" customHeight="1">
      <c r="A24" s="107" t="s">
        <v>558</v>
      </c>
      <c r="B24" s="177">
        <f t="shared" ref="B24:B26" si="1">DATEVALUE(A24)</f>
        <v>40181</v>
      </c>
      <c r="C24" s="177"/>
    </row>
    <row r="25" spans="1:4">
      <c r="A25" s="107" t="s">
        <v>559</v>
      </c>
      <c r="B25" s="177">
        <f t="shared" si="1"/>
        <v>42349</v>
      </c>
      <c r="C25" s="177"/>
    </row>
    <row r="26" spans="1:4">
      <c r="A26" s="107" t="s">
        <v>560</v>
      </c>
      <c r="B26" s="177">
        <f t="shared" si="1"/>
        <v>41640</v>
      </c>
      <c r="C26" s="177"/>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topLeftCell="A4" zoomScale="90" zoomScaleNormal="90" workbookViewId="0">
      <selection activeCell="B21" sqref="B21:C24"/>
    </sheetView>
  </sheetViews>
  <sheetFormatPr defaultRowHeight="14.4"/>
  <cols>
    <col min="1" max="2" width="12.6640625" customWidth="1"/>
    <col min="3" max="3" width="10.109375" customWidth="1"/>
    <col min="4" max="4" width="12.332031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172</v>
      </c>
      <c r="B1" s="170"/>
      <c r="C1" s="98"/>
      <c r="D1" s="73"/>
      <c r="E1" s="73"/>
      <c r="F1" s="73"/>
      <c r="G1" s="73"/>
      <c r="H1" s="73"/>
      <c r="I1" s="73"/>
      <c r="J1" s="73"/>
      <c r="K1" s="73"/>
    </row>
    <row r="2" spans="1:11" ht="15" thickTop="1"/>
    <row r="3" spans="1:11" ht="18">
      <c r="A3" s="71" t="s">
        <v>204</v>
      </c>
    </row>
    <row r="4" spans="1:11" ht="15" customHeight="1">
      <c r="A4" s="171" t="s">
        <v>561</v>
      </c>
      <c r="B4" s="171"/>
      <c r="C4" s="171"/>
      <c r="D4" s="171"/>
      <c r="E4" s="171"/>
      <c r="F4" s="171"/>
      <c r="G4" s="171"/>
      <c r="H4" s="171"/>
      <c r="I4" s="171"/>
    </row>
    <row r="5" spans="1:11">
      <c r="A5" s="104"/>
      <c r="B5" s="99"/>
      <c r="C5" s="99"/>
      <c r="D5" s="99"/>
      <c r="E5" s="99"/>
      <c r="F5" s="99"/>
      <c r="G5" s="105"/>
      <c r="H5" s="105"/>
      <c r="I5" s="99"/>
    </row>
    <row r="6" spans="1:11" ht="18">
      <c r="A6" s="71" t="s">
        <v>24</v>
      </c>
    </row>
    <row r="7" spans="1:11" ht="15.6">
      <c r="A7" s="76" t="s">
        <v>562</v>
      </c>
    </row>
    <row r="9" spans="1:11" ht="15.6">
      <c r="A9" s="70" t="s">
        <v>563</v>
      </c>
    </row>
    <row r="10" spans="1:11">
      <c r="A10" t="s">
        <v>564</v>
      </c>
    </row>
    <row r="12" spans="1:11" ht="15.6">
      <c r="A12" s="70" t="s">
        <v>48</v>
      </c>
    </row>
    <row r="13" spans="1:11">
      <c r="A13" s="101" t="s">
        <v>565</v>
      </c>
    </row>
    <row r="14" spans="1:11">
      <c r="A14" s="75" t="s">
        <v>49</v>
      </c>
      <c r="B14" s="166" t="s">
        <v>218</v>
      </c>
      <c r="C14" s="168"/>
    </row>
    <row r="15" spans="1:11">
      <c r="A15" s="94">
        <f ca="1">TODAY()</f>
        <v>46079</v>
      </c>
      <c r="B15" s="152" t="s">
        <v>562</v>
      </c>
      <c r="C15" s="154"/>
    </row>
    <row r="16" spans="1:11">
      <c r="A16" s="94">
        <f ca="1">TODAY()-5</f>
        <v>46074</v>
      </c>
      <c r="B16" s="152" t="s">
        <v>566</v>
      </c>
      <c r="C16" s="154"/>
    </row>
    <row r="17" spans="1:3">
      <c r="A17" s="69"/>
      <c r="B17" s="69"/>
      <c r="C17" s="69"/>
    </row>
    <row r="18" spans="1:3" ht="15.6">
      <c r="A18" s="70" t="s">
        <v>236</v>
      </c>
    </row>
    <row r="19" spans="1:3">
      <c r="A19" s="101" t="s">
        <v>567</v>
      </c>
    </row>
    <row r="20" spans="1:3">
      <c r="A20" s="75" t="s">
        <v>305</v>
      </c>
      <c r="B20" s="151" t="s">
        <v>49</v>
      </c>
      <c r="C20" s="151"/>
    </row>
    <row r="21" spans="1:3">
      <c r="A21" s="107">
        <v>42369</v>
      </c>
      <c r="B21" s="155">
        <f ca="1">TODAY()-A21</f>
        <v>3710</v>
      </c>
      <c r="C21" s="155"/>
    </row>
    <row r="22" spans="1:3" ht="15" customHeight="1">
      <c r="A22" s="107">
        <v>40181</v>
      </c>
      <c r="B22" s="155">
        <f t="shared" ref="B22:B24" ca="1" si="0">TODAY()-A22</f>
        <v>5898</v>
      </c>
      <c r="C22" s="155"/>
    </row>
    <row r="23" spans="1:3">
      <c r="A23" s="107">
        <v>42349</v>
      </c>
      <c r="B23" s="155">
        <f t="shared" ca="1" si="0"/>
        <v>3730</v>
      </c>
      <c r="C23" s="155"/>
    </row>
    <row r="24" spans="1:3">
      <c r="A24" s="107">
        <v>41640</v>
      </c>
      <c r="B24" s="155">
        <f t="shared" ca="1" si="0"/>
        <v>4439</v>
      </c>
      <c r="C24" s="155"/>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zoomScale="90" zoomScaleNormal="90" workbookViewId="0">
      <selection activeCell="D23" sqref="D23"/>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173</v>
      </c>
      <c r="B1" s="170"/>
      <c r="C1" s="98"/>
      <c r="D1" s="73"/>
      <c r="E1" s="73"/>
      <c r="F1" s="73"/>
      <c r="G1" s="73"/>
      <c r="H1" s="73"/>
      <c r="I1" s="73"/>
      <c r="J1" s="73"/>
      <c r="K1" s="73"/>
    </row>
    <row r="2" spans="1:11" ht="15" thickTop="1"/>
    <row r="3" spans="1:11" ht="18">
      <c r="A3" s="71" t="s">
        <v>204</v>
      </c>
    </row>
    <row r="4" spans="1:11" ht="15" customHeight="1">
      <c r="A4" s="171" t="s">
        <v>1057</v>
      </c>
      <c r="B4" s="171"/>
      <c r="C4" s="171"/>
      <c r="D4" s="171"/>
      <c r="E4" s="171"/>
      <c r="F4" s="171"/>
      <c r="G4" s="171"/>
      <c r="H4" s="171"/>
      <c r="I4" s="171"/>
    </row>
    <row r="5" spans="1:11">
      <c r="A5" s="104"/>
      <c r="B5" s="99"/>
      <c r="C5" s="99"/>
      <c r="D5" s="99"/>
      <c r="E5" s="99"/>
      <c r="F5" s="99"/>
      <c r="G5" s="105"/>
      <c r="H5" s="105"/>
      <c r="I5" s="99"/>
    </row>
    <row r="6" spans="1:11" ht="18">
      <c r="A6" s="71" t="s">
        <v>24</v>
      </c>
    </row>
    <row r="7" spans="1:11" ht="15.6">
      <c r="A7" s="76" t="s">
        <v>568</v>
      </c>
    </row>
    <row r="9" spans="1:11" ht="15.6">
      <c r="A9" s="70" t="s">
        <v>563</v>
      </c>
    </row>
    <row r="10" spans="1:11">
      <c r="A10" t="s">
        <v>564</v>
      </c>
    </row>
    <row r="12" spans="1:11" ht="15.6">
      <c r="A12" s="70" t="s">
        <v>48</v>
      </c>
    </row>
    <row r="13" spans="1:11">
      <c r="A13" s="101" t="s">
        <v>569</v>
      </c>
    </row>
    <row r="14" spans="1:11">
      <c r="A14" s="151" t="s">
        <v>49</v>
      </c>
      <c r="B14" s="151"/>
      <c r="C14" s="166" t="s">
        <v>218</v>
      </c>
      <c r="D14" s="168"/>
    </row>
    <row r="15" spans="1:11">
      <c r="A15" s="178">
        <f ca="1">NOW()</f>
        <v>46079.902677314814</v>
      </c>
      <c r="B15" s="178"/>
      <c r="C15" s="152" t="s">
        <v>568</v>
      </c>
      <c r="D15" s="154"/>
      <c r="E15" s="108"/>
    </row>
    <row r="16" spans="1:11">
      <c r="A16" s="178">
        <f ca="1">NOW()-5</f>
        <v>46074.902677314814</v>
      </c>
      <c r="B16" s="178"/>
      <c r="C16" s="152" t="s">
        <v>570</v>
      </c>
      <c r="D16" s="154"/>
      <c r="E16" s="108"/>
    </row>
    <row r="17" spans="1:5">
      <c r="A17" s="69"/>
      <c r="B17" s="69"/>
      <c r="C17" s="69"/>
    </row>
    <row r="18" spans="1:5" ht="15.6">
      <c r="A18" s="70" t="s">
        <v>236</v>
      </c>
    </row>
    <row r="19" spans="1:5">
      <c r="A19" s="101" t="s">
        <v>571</v>
      </c>
    </row>
    <row r="20" spans="1:5">
      <c r="A20" s="166" t="s">
        <v>305</v>
      </c>
      <c r="B20" s="167"/>
      <c r="C20" s="168"/>
      <c r="D20" s="166" t="s">
        <v>218</v>
      </c>
      <c r="E20" s="168"/>
    </row>
    <row r="21" spans="1:5">
      <c r="A21" s="179" t="s">
        <v>572</v>
      </c>
      <c r="B21" s="180"/>
      <c r="C21" s="181"/>
      <c r="D21" s="178">
        <f ca="1">NOW()</f>
        <v>46079.902677199076</v>
      </c>
      <c r="E21" s="178"/>
    </row>
    <row r="22" spans="1:5" ht="15" customHeight="1">
      <c r="A22" s="179" t="s">
        <v>573</v>
      </c>
      <c r="B22" s="180"/>
      <c r="C22" s="181"/>
      <c r="D22" s="178">
        <f ca="1">NOW() - 7</f>
        <v>46072.902677199076</v>
      </c>
      <c r="E22" s="178"/>
    </row>
  </sheetData>
  <mergeCells count="14">
    <mergeCell ref="D21:E21"/>
    <mergeCell ref="D22:E22"/>
    <mergeCell ref="A15:B15"/>
    <mergeCell ref="A16:B16"/>
    <mergeCell ref="A21:C21"/>
    <mergeCell ref="A22:C22"/>
    <mergeCell ref="A20:C20"/>
    <mergeCell ref="D20:E20"/>
    <mergeCell ref="A1:B1"/>
    <mergeCell ref="A4:I4"/>
    <mergeCell ref="C14:D14"/>
    <mergeCell ref="C15:D15"/>
    <mergeCell ref="C16:D16"/>
    <mergeCell ref="A14:B14"/>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zoomScale="90" zoomScaleNormal="90" workbookViewId="0">
      <selection activeCell="F24" sqref="F24"/>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174</v>
      </c>
      <c r="B1" s="170"/>
      <c r="C1" s="98"/>
      <c r="D1" s="73"/>
      <c r="E1" s="73"/>
      <c r="F1" s="73"/>
      <c r="G1" s="73"/>
      <c r="H1" s="73"/>
      <c r="I1" s="73"/>
      <c r="J1" s="73"/>
      <c r="K1" s="73"/>
    </row>
    <row r="2" spans="1:11" ht="15" thickTop="1"/>
    <row r="3" spans="1:11" ht="18">
      <c r="A3" s="71" t="s">
        <v>204</v>
      </c>
    </row>
    <row r="4" spans="1:11" ht="15" customHeight="1">
      <c r="A4" s="171" t="s">
        <v>574</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
      <c r="A7" s="71" t="s">
        <v>24</v>
      </c>
    </row>
    <row r="8" spans="1:11" ht="15.6">
      <c r="A8" s="76" t="s">
        <v>575</v>
      </c>
    </row>
    <row r="10" spans="1:11" ht="15.6">
      <c r="A10" s="70" t="s">
        <v>576</v>
      </c>
    </row>
    <row r="11" spans="1:11">
      <c r="A11" t="s">
        <v>577</v>
      </c>
    </row>
    <row r="13" spans="1:11" ht="15.6">
      <c r="A13" s="70" t="s">
        <v>48</v>
      </c>
    </row>
    <row r="14" spans="1:11">
      <c r="A14" s="101" t="s">
        <v>569</v>
      </c>
    </row>
    <row r="15" spans="1:11">
      <c r="A15" s="151" t="s">
        <v>305</v>
      </c>
      <c r="B15" s="151"/>
      <c r="C15" s="75" t="s">
        <v>49</v>
      </c>
      <c r="D15" s="75" t="s">
        <v>218</v>
      </c>
    </row>
    <row r="16" spans="1:11">
      <c r="A16" s="178">
        <f ca="1">NOW()</f>
        <v>46079.902677314814</v>
      </c>
      <c r="B16" s="178"/>
      <c r="C16" s="106">
        <f ca="1">DAY(A16)</f>
        <v>26</v>
      </c>
      <c r="D16" s="106" t="s">
        <v>578</v>
      </c>
    </row>
    <row r="17" spans="1:7">
      <c r="A17" s="178">
        <f ca="1">NOW()-5</f>
        <v>46074.902677314814</v>
      </c>
      <c r="B17" s="178"/>
      <c r="C17" s="106">
        <f ca="1">DAY(A17)</f>
        <v>21</v>
      </c>
      <c r="D17" s="106" t="s">
        <v>579</v>
      </c>
    </row>
    <row r="18" spans="1:7">
      <c r="A18" s="69"/>
      <c r="B18" s="69"/>
      <c r="C18" s="69"/>
    </row>
    <row r="19" spans="1:7" ht="15.6">
      <c r="A19" s="70" t="s">
        <v>236</v>
      </c>
    </row>
    <row r="20" spans="1:7">
      <c r="A20" s="101" t="s">
        <v>580</v>
      </c>
    </row>
    <row r="21" spans="1:7">
      <c r="A21" s="166" t="s">
        <v>305</v>
      </c>
      <c r="B21" s="167"/>
      <c r="C21" s="168"/>
      <c r="D21" s="166" t="s">
        <v>581</v>
      </c>
      <c r="E21" s="168"/>
      <c r="F21" s="166" t="s">
        <v>582</v>
      </c>
      <c r="G21" s="168"/>
    </row>
    <row r="22" spans="1:7">
      <c r="A22" s="179" t="s">
        <v>572</v>
      </c>
      <c r="B22" s="180"/>
      <c r="C22" s="181"/>
      <c r="D22" s="178">
        <f ca="1">NOW()</f>
        <v>46079.902677199076</v>
      </c>
      <c r="E22" s="178"/>
      <c r="F22" s="182">
        <f ca="1">DAY(D22)</f>
        <v>26</v>
      </c>
      <c r="G22" s="182"/>
    </row>
    <row r="23" spans="1:7" ht="15" customHeight="1">
      <c r="A23" s="179" t="s">
        <v>573</v>
      </c>
      <c r="B23" s="180"/>
      <c r="C23" s="181"/>
      <c r="D23" s="178">
        <f ca="1">NOW()-7</f>
        <v>46072.902677199076</v>
      </c>
      <c r="E23" s="178"/>
      <c r="F23" s="182">
        <f ca="1">DAY(D23)</f>
        <v>19</v>
      </c>
      <c r="G23" s="182"/>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F23" sqref="F23:G23"/>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175</v>
      </c>
      <c r="B1" s="170"/>
      <c r="C1" s="98"/>
      <c r="D1" s="73"/>
      <c r="E1" s="73"/>
      <c r="F1" s="73"/>
      <c r="G1" s="73"/>
      <c r="H1" s="73"/>
      <c r="I1" s="73"/>
      <c r="J1" s="73"/>
      <c r="K1" s="73"/>
    </row>
    <row r="2" spans="1:11" ht="15" thickTop="1"/>
    <row r="3" spans="1:11" ht="18">
      <c r="A3" s="71" t="s">
        <v>204</v>
      </c>
    </row>
    <row r="4" spans="1:11" ht="15" customHeight="1">
      <c r="A4" s="171" t="s">
        <v>583</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
      <c r="A7" s="71" t="s">
        <v>24</v>
      </c>
    </row>
    <row r="8" spans="1:11" ht="15.6">
      <c r="A8" s="76" t="s">
        <v>584</v>
      </c>
    </row>
    <row r="10" spans="1:11" ht="15.6">
      <c r="A10" s="70" t="s">
        <v>576</v>
      </c>
    </row>
    <row r="11" spans="1:11">
      <c r="A11" t="s">
        <v>585</v>
      </c>
    </row>
    <row r="12" spans="1:11">
      <c r="A12" s="109"/>
    </row>
    <row r="13" spans="1:11" ht="15.6">
      <c r="A13" s="70" t="s">
        <v>48</v>
      </c>
    </row>
    <row r="14" spans="1:11">
      <c r="A14" s="101" t="s">
        <v>569</v>
      </c>
    </row>
    <row r="15" spans="1:11">
      <c r="A15" s="151" t="s">
        <v>305</v>
      </c>
      <c r="B15" s="151"/>
      <c r="C15" s="75" t="s">
        <v>49</v>
      </c>
      <c r="D15" s="75" t="s">
        <v>218</v>
      </c>
    </row>
    <row r="16" spans="1:11">
      <c r="A16" s="178">
        <v>42823.507711458333</v>
      </c>
      <c r="B16" s="178"/>
      <c r="C16" s="106">
        <f>MONTH(A16)</f>
        <v>3</v>
      </c>
      <c r="D16" s="106" t="s">
        <v>586</v>
      </c>
    </row>
    <row r="17" spans="1:7">
      <c r="A17" s="178">
        <v>42788.507711458333</v>
      </c>
      <c r="B17" s="178"/>
      <c r="C17" s="106">
        <f>MONTH(A17)</f>
        <v>2</v>
      </c>
      <c r="D17" s="106" t="s">
        <v>587</v>
      </c>
    </row>
    <row r="18" spans="1:7">
      <c r="A18" s="69"/>
      <c r="B18" s="69"/>
      <c r="C18" s="69"/>
    </row>
    <row r="19" spans="1:7" ht="15.6">
      <c r="A19" s="70" t="s">
        <v>236</v>
      </c>
    </row>
    <row r="20" spans="1:7">
      <c r="A20" s="101" t="s">
        <v>589</v>
      </c>
    </row>
    <row r="21" spans="1:7">
      <c r="A21" s="166" t="s">
        <v>305</v>
      </c>
      <c r="B21" s="167"/>
      <c r="C21" s="168"/>
      <c r="D21" s="166" t="s">
        <v>581</v>
      </c>
      <c r="E21" s="168"/>
      <c r="F21" s="166" t="s">
        <v>598</v>
      </c>
      <c r="G21" s="168"/>
    </row>
    <row r="22" spans="1:7">
      <c r="A22" s="179" t="s">
        <v>572</v>
      </c>
      <c r="B22" s="180"/>
      <c r="C22" s="181"/>
      <c r="D22" s="178">
        <f ca="1">NOW()</f>
        <v>46079.902677199076</v>
      </c>
      <c r="E22" s="178"/>
      <c r="F22" s="182">
        <f ca="1">MONTH(D22)</f>
        <v>2</v>
      </c>
      <c r="G22" s="182"/>
    </row>
    <row r="23" spans="1:7" ht="15" customHeight="1">
      <c r="A23" s="179" t="s">
        <v>588</v>
      </c>
      <c r="B23" s="180"/>
      <c r="C23" s="181"/>
      <c r="D23" s="178">
        <f ca="1">NOW() - 30</f>
        <v>46049.902677199076</v>
      </c>
      <c r="E23" s="178"/>
      <c r="F23" s="182">
        <f ca="1">MONTH(D23)</f>
        <v>1</v>
      </c>
      <c r="G23" s="182"/>
    </row>
  </sheetData>
  <mergeCells count="14">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13" zoomScale="90" zoomScaleNormal="90" workbookViewId="0">
      <selection activeCell="G35" sqref="G35"/>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176</v>
      </c>
      <c r="B1" s="170"/>
      <c r="C1" s="98"/>
      <c r="D1" s="73"/>
      <c r="E1" s="73"/>
      <c r="F1" s="73"/>
      <c r="G1" s="73"/>
      <c r="H1" s="73"/>
      <c r="I1" s="73"/>
      <c r="J1" s="73"/>
      <c r="K1" s="73"/>
    </row>
    <row r="2" spans="1:11" ht="15" thickTop="1"/>
    <row r="3" spans="1:11" ht="18">
      <c r="A3" s="71" t="s">
        <v>204</v>
      </c>
    </row>
    <row r="4" spans="1:11" ht="15" customHeight="1">
      <c r="A4" s="171" t="s">
        <v>591</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
      <c r="A7" s="71" t="s">
        <v>24</v>
      </c>
    </row>
    <row r="8" spans="1:11" ht="15.6">
      <c r="A8" s="76" t="s">
        <v>590</v>
      </c>
    </row>
    <row r="10" spans="1:11" ht="15.6">
      <c r="A10" s="70" t="s">
        <v>576</v>
      </c>
    </row>
    <row r="11" spans="1:11">
      <c r="A11" t="s">
        <v>592</v>
      </c>
    </row>
    <row r="12" spans="1:11">
      <c r="A12" s="109"/>
    </row>
    <row r="13" spans="1:11" ht="15.6">
      <c r="A13" s="70" t="s">
        <v>48</v>
      </c>
    </row>
    <row r="14" spans="1:11">
      <c r="A14" s="101" t="s">
        <v>569</v>
      </c>
    </row>
    <row r="15" spans="1:11">
      <c r="A15" s="151" t="s">
        <v>305</v>
      </c>
      <c r="B15" s="151"/>
      <c r="C15" s="75" t="s">
        <v>49</v>
      </c>
      <c r="D15" s="75" t="s">
        <v>218</v>
      </c>
    </row>
    <row r="16" spans="1:11">
      <c r="A16" s="178">
        <v>42823.507711458333</v>
      </c>
      <c r="B16" s="178"/>
      <c r="C16" s="106">
        <f>YEAR(A16)</f>
        <v>2017</v>
      </c>
      <c r="D16" s="106" t="s">
        <v>593</v>
      </c>
    </row>
    <row r="17" spans="1:7">
      <c r="A17" s="177">
        <v>18681</v>
      </c>
      <c r="B17" s="177"/>
      <c r="C17" s="106">
        <f>YEAR(A17)</f>
        <v>1951</v>
      </c>
      <c r="D17" s="106" t="s">
        <v>594</v>
      </c>
    </row>
    <row r="18" spans="1:7">
      <c r="A18" s="69"/>
      <c r="B18" s="69"/>
      <c r="C18" s="69"/>
    </row>
    <row r="19" spans="1:7" ht="15.6">
      <c r="A19" s="70" t="s">
        <v>455</v>
      </c>
    </row>
    <row r="20" spans="1:7">
      <c r="A20" s="101" t="s">
        <v>595</v>
      </c>
    </row>
    <row r="21" spans="1:7">
      <c r="A21" s="166" t="s">
        <v>305</v>
      </c>
      <c r="B21" s="167"/>
      <c r="C21" s="168"/>
      <c r="D21" s="166" t="s">
        <v>581</v>
      </c>
      <c r="E21" s="168"/>
      <c r="F21" s="166" t="s">
        <v>597</v>
      </c>
      <c r="G21" s="168"/>
    </row>
    <row r="22" spans="1:7">
      <c r="A22" s="179" t="s">
        <v>572</v>
      </c>
      <c r="B22" s="180"/>
      <c r="C22" s="181"/>
      <c r="D22" s="178">
        <f ca="1">NOW()</f>
        <v>46079.902677199076</v>
      </c>
      <c r="E22" s="178"/>
      <c r="F22" s="182">
        <f ca="1">YEAR(D22)</f>
        <v>2026</v>
      </c>
      <c r="G22" s="182"/>
    </row>
    <row r="23" spans="1:7" ht="15" customHeight="1">
      <c r="A23" s="179" t="s">
        <v>596</v>
      </c>
      <c r="B23" s="180"/>
      <c r="C23" s="181"/>
      <c r="D23" s="178">
        <f ca="1">NOW() - 365</f>
        <v>45714.902677199076</v>
      </c>
      <c r="E23" s="178"/>
      <c r="F23" s="182">
        <f ca="1">YEAR(D23)</f>
        <v>2025</v>
      </c>
      <c r="G23" s="182"/>
    </row>
    <row r="25" spans="1:7" ht="15.6">
      <c r="A25" s="70" t="s">
        <v>456</v>
      </c>
    </row>
    <row r="26" spans="1:7">
      <c r="A26" s="101" t="s">
        <v>601</v>
      </c>
    </row>
    <row r="27" spans="1:7">
      <c r="A27" s="75" t="s">
        <v>144</v>
      </c>
      <c r="B27" s="151" t="s">
        <v>339</v>
      </c>
      <c r="C27" s="151"/>
      <c r="D27" s="151"/>
      <c r="E27" s="151"/>
    </row>
    <row r="28" spans="1:7">
      <c r="A28" s="94">
        <v>42384</v>
      </c>
      <c r="B28" s="155" t="s">
        <v>599</v>
      </c>
      <c r="C28" s="155"/>
      <c r="D28" s="155"/>
      <c r="E28" s="155"/>
    </row>
    <row r="29" spans="1:7">
      <c r="A29" s="94">
        <v>42415</v>
      </c>
      <c r="B29" s="177">
        <f>DATE(YEAR(A28),MONTH(A28)+1,DAY(A28))</f>
        <v>42415</v>
      </c>
      <c r="C29" s="177"/>
      <c r="D29" s="177"/>
      <c r="E29" s="177"/>
      <c r="F29" t="s">
        <v>600</v>
      </c>
    </row>
    <row r="30" spans="1:7">
      <c r="A30" s="94">
        <v>42444</v>
      </c>
      <c r="B30" s="177">
        <f t="shared" ref="B30:B35" si="0">DATE(YEAR(A29),MONTH(A29)+1,DAY(A29))</f>
        <v>42444</v>
      </c>
      <c r="C30" s="177"/>
      <c r="D30" s="177"/>
      <c r="E30" s="177"/>
    </row>
    <row r="31" spans="1:7">
      <c r="A31" s="94">
        <v>42475</v>
      </c>
      <c r="B31" s="177">
        <f t="shared" si="0"/>
        <v>42475</v>
      </c>
      <c r="C31" s="177"/>
      <c r="D31" s="177"/>
      <c r="E31" s="177"/>
    </row>
    <row r="32" spans="1:7">
      <c r="A32" s="94">
        <v>42505</v>
      </c>
      <c r="B32" s="177">
        <f t="shared" si="0"/>
        <v>42505</v>
      </c>
      <c r="C32" s="177"/>
      <c r="D32" s="177"/>
      <c r="E32" s="177"/>
    </row>
    <row r="33" spans="1:5">
      <c r="A33" s="94">
        <v>42536</v>
      </c>
      <c r="B33" s="177">
        <f t="shared" si="0"/>
        <v>42536</v>
      </c>
      <c r="C33" s="177"/>
      <c r="D33" s="177"/>
      <c r="E33" s="177"/>
    </row>
    <row r="34" spans="1:5">
      <c r="A34" s="94">
        <v>42566</v>
      </c>
      <c r="B34" s="177">
        <f t="shared" si="0"/>
        <v>42566</v>
      </c>
      <c r="C34" s="177"/>
      <c r="D34" s="177"/>
      <c r="E34" s="177"/>
    </row>
    <row r="35" spans="1:5">
      <c r="A35" s="94">
        <v>42967</v>
      </c>
      <c r="B35" s="177">
        <f t="shared" si="0"/>
        <v>42597</v>
      </c>
      <c r="C35" s="177"/>
      <c r="D35" s="177"/>
      <c r="E35" s="177"/>
    </row>
  </sheetData>
  <mergeCells count="23">
    <mergeCell ref="B33:E33"/>
    <mergeCell ref="B34:E34"/>
    <mergeCell ref="B35:E35"/>
    <mergeCell ref="B28:E28"/>
    <mergeCell ref="B27:E27"/>
    <mergeCell ref="B29:E29"/>
    <mergeCell ref="B30:E30"/>
    <mergeCell ref="B31:E31"/>
    <mergeCell ref="B32:E32"/>
    <mergeCell ref="A22:C22"/>
    <mergeCell ref="D22:E22"/>
    <mergeCell ref="F22:G22"/>
    <mergeCell ref="A23:C23"/>
    <mergeCell ref="D23:E23"/>
    <mergeCell ref="F23:G23"/>
    <mergeCell ref="A21:C21"/>
    <mergeCell ref="D21:E21"/>
    <mergeCell ref="F21:G21"/>
    <mergeCell ref="A1:B1"/>
    <mergeCell ref="A4:I5"/>
    <mergeCell ref="A15:B15"/>
    <mergeCell ref="A16:B16"/>
    <mergeCell ref="A17:B17"/>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16" zoomScale="90" zoomScaleNormal="90" workbookViewId="0">
      <selection activeCell="B36" sqref="B36:B43"/>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177</v>
      </c>
      <c r="B1" s="170"/>
      <c r="C1" s="98"/>
      <c r="D1" s="73"/>
      <c r="E1" s="73"/>
      <c r="F1" s="73"/>
      <c r="G1" s="73"/>
      <c r="H1" s="73"/>
      <c r="I1" s="73"/>
      <c r="J1" s="73"/>
      <c r="K1" s="73"/>
    </row>
    <row r="2" spans="1:11" ht="15" thickTop="1"/>
    <row r="3" spans="1:11" ht="18">
      <c r="A3" s="71" t="s">
        <v>204</v>
      </c>
    </row>
    <row r="4" spans="1:11" ht="15" customHeight="1">
      <c r="A4" s="171" t="s">
        <v>603</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
      <c r="A7" s="71" t="s">
        <v>24</v>
      </c>
    </row>
    <row r="8" spans="1:11" ht="15.6">
      <c r="A8" s="76" t="s">
        <v>602</v>
      </c>
    </row>
    <row r="10" spans="1:11" ht="15.6">
      <c r="A10" s="70" t="s">
        <v>576</v>
      </c>
    </row>
    <row r="11" spans="1:11">
      <c r="A11" t="s">
        <v>592</v>
      </c>
    </row>
    <row r="12" spans="1:11">
      <c r="A12" s="109"/>
    </row>
    <row r="13" spans="1:11" ht="15.6">
      <c r="A13" s="70" t="s">
        <v>604</v>
      </c>
    </row>
    <row r="14" spans="1:11">
      <c r="A14" s="150" t="s">
        <v>605</v>
      </c>
      <c r="B14" s="150"/>
      <c r="C14" s="150"/>
      <c r="D14" s="150"/>
      <c r="E14" s="150"/>
      <c r="F14" s="150"/>
      <c r="G14" s="150"/>
      <c r="H14" s="150"/>
      <c r="I14" s="150"/>
      <c r="J14" s="150"/>
    </row>
    <row r="15" spans="1:11">
      <c r="A15" s="150"/>
      <c r="B15" s="150"/>
      <c r="C15" s="150"/>
      <c r="D15" s="150"/>
      <c r="E15" s="150"/>
      <c r="F15" s="150"/>
      <c r="G15" s="150"/>
      <c r="H15" s="150"/>
      <c r="I15" s="150"/>
      <c r="J15" s="150"/>
    </row>
    <row r="16" spans="1:11">
      <c r="A16" s="81"/>
      <c r="B16" s="81"/>
      <c r="C16" s="81"/>
      <c r="D16" s="81"/>
      <c r="E16" s="81"/>
      <c r="F16" s="81"/>
      <c r="G16" s="81"/>
      <c r="H16" s="81"/>
      <c r="I16" s="81"/>
      <c r="J16" s="81"/>
    </row>
    <row r="17" spans="1:4" ht="15.6">
      <c r="A17" s="70" t="s">
        <v>48</v>
      </c>
    </row>
    <row r="18" spans="1:4">
      <c r="A18" s="101" t="s">
        <v>606</v>
      </c>
    </row>
    <row r="19" spans="1:4">
      <c r="A19" s="151" t="s">
        <v>305</v>
      </c>
      <c r="B19" s="151"/>
      <c r="C19" s="75" t="s">
        <v>49</v>
      </c>
      <c r="D19" s="75" t="s">
        <v>218</v>
      </c>
    </row>
    <row r="20" spans="1:4">
      <c r="A20" s="177">
        <f ca="1">TODAY()</f>
        <v>46079</v>
      </c>
      <c r="B20" s="177"/>
      <c r="C20" s="106">
        <f ca="1">WEEKDAY(A20)</f>
        <v>5</v>
      </c>
      <c r="D20" s="106" t="s">
        <v>607</v>
      </c>
    </row>
    <row r="21" spans="1:4">
      <c r="A21" s="177">
        <f t="shared" ref="A21:A23" ca="1" si="0">TODAY()</f>
        <v>46079</v>
      </c>
      <c r="B21" s="177"/>
      <c r="C21" s="106">
        <f ca="1">WEEKDAY(A21,2)</f>
        <v>4</v>
      </c>
      <c r="D21" s="106" t="s">
        <v>608</v>
      </c>
    </row>
    <row r="22" spans="1:4">
      <c r="A22" s="177">
        <f t="shared" ca="1" si="0"/>
        <v>46079</v>
      </c>
      <c r="B22" s="177"/>
      <c r="C22" s="106">
        <f ca="1">WEEKDAY(A22,3)</f>
        <v>3</v>
      </c>
      <c r="D22" s="106" t="s">
        <v>609</v>
      </c>
    </row>
    <row r="23" spans="1:4">
      <c r="A23" s="177">
        <f t="shared" ca="1" si="0"/>
        <v>46079</v>
      </c>
      <c r="B23" s="177"/>
      <c r="C23" s="106">
        <f ca="1">WEEKDAY(A23,14)</f>
        <v>1</v>
      </c>
      <c r="D23" s="106" t="s">
        <v>610</v>
      </c>
    </row>
    <row r="24" spans="1:4">
      <c r="A24" s="69"/>
      <c r="B24" s="69"/>
      <c r="C24" s="69"/>
    </row>
    <row r="25" spans="1:4" ht="15.6">
      <c r="A25" s="70" t="s">
        <v>455</v>
      </c>
    </row>
    <row r="26" spans="1:4">
      <c r="A26" s="101" t="s">
        <v>613</v>
      </c>
    </row>
    <row r="27" spans="1:4">
      <c r="A27" s="75" t="s">
        <v>611</v>
      </c>
      <c r="B27" s="75" t="s">
        <v>612</v>
      </c>
      <c r="C27" s="166" t="s">
        <v>339</v>
      </c>
      <c r="D27" s="168"/>
    </row>
    <row r="28" spans="1:4">
      <c r="A28" s="94">
        <v>42736</v>
      </c>
      <c r="B28" s="111">
        <v>1</v>
      </c>
      <c r="C28" s="183">
        <f>WEEKDAY(A28, B28)</f>
        <v>1</v>
      </c>
      <c r="D28" s="184"/>
    </row>
    <row r="29" spans="1:4">
      <c r="A29" s="94">
        <v>42736</v>
      </c>
      <c r="B29" s="111">
        <v>2</v>
      </c>
      <c r="C29" s="183">
        <f t="shared" ref="C29:C30" si="1">WEEKDAY(A29, B29)</f>
        <v>7</v>
      </c>
      <c r="D29" s="184"/>
    </row>
    <row r="30" spans="1:4">
      <c r="A30" s="94">
        <v>42736</v>
      </c>
      <c r="B30" s="111">
        <v>3</v>
      </c>
      <c r="C30" s="183">
        <f t="shared" si="1"/>
        <v>6</v>
      </c>
      <c r="D30" s="184"/>
    </row>
    <row r="32" spans="1:4" ht="15.6">
      <c r="A32" s="70" t="s">
        <v>456</v>
      </c>
    </row>
    <row r="33" spans="1:10">
      <c r="A33" s="150" t="s">
        <v>614</v>
      </c>
      <c r="B33" s="150"/>
      <c r="C33" s="150"/>
      <c r="D33" s="150"/>
      <c r="E33" s="150"/>
      <c r="F33" s="150"/>
      <c r="G33" s="150"/>
      <c r="H33" s="150"/>
      <c r="I33" s="150"/>
      <c r="J33" s="150"/>
    </row>
    <row r="34" spans="1:10">
      <c r="A34" s="150"/>
      <c r="B34" s="150"/>
      <c r="C34" s="150"/>
      <c r="D34" s="150"/>
      <c r="E34" s="150"/>
      <c r="F34" s="150"/>
      <c r="G34" s="150"/>
      <c r="H34" s="150"/>
      <c r="I34" s="150"/>
      <c r="J34" s="150"/>
    </row>
    <row r="35" spans="1:10">
      <c r="A35" s="75" t="s">
        <v>611</v>
      </c>
      <c r="B35" s="75" t="s">
        <v>615</v>
      </c>
      <c r="C35" s="151" t="s">
        <v>616</v>
      </c>
      <c r="D35" s="151"/>
    </row>
    <row r="36" spans="1:10">
      <c r="A36" s="112">
        <v>42822</v>
      </c>
      <c r="B36" s="113">
        <f>WEEKDAY(A36)</f>
        <v>3</v>
      </c>
      <c r="C36" s="185">
        <f>IF(B36=3,A36-4,A36)</f>
        <v>42818</v>
      </c>
      <c r="D36" s="185"/>
    </row>
    <row r="37" spans="1:10">
      <c r="A37" s="94">
        <v>42823</v>
      </c>
      <c r="B37" s="113">
        <f t="shared" ref="B37:B43" si="2">WEEKDAY(A37)</f>
        <v>4</v>
      </c>
      <c r="C37" s="177">
        <f>IF(B37=3, A37-4, A37)</f>
        <v>42823</v>
      </c>
      <c r="D37" s="177"/>
    </row>
    <row r="38" spans="1:10">
      <c r="A38" s="94">
        <v>42815</v>
      </c>
      <c r="B38" s="113">
        <f t="shared" si="2"/>
        <v>3</v>
      </c>
      <c r="C38" s="177">
        <f t="shared" ref="C38:C43" si="3">IF(B38=3, A38-4, A38)</f>
        <v>42811</v>
      </c>
      <c r="D38" s="177"/>
    </row>
    <row r="39" spans="1:10">
      <c r="A39" s="94">
        <v>42370</v>
      </c>
      <c r="B39" s="113">
        <f t="shared" si="2"/>
        <v>6</v>
      </c>
      <c r="C39" s="177">
        <f t="shared" si="3"/>
        <v>42370</v>
      </c>
      <c r="D39" s="177"/>
    </row>
    <row r="40" spans="1:10">
      <c r="A40" s="94">
        <v>42736</v>
      </c>
      <c r="B40" s="113">
        <f t="shared" si="2"/>
        <v>1</v>
      </c>
      <c r="C40" s="177">
        <f t="shared" si="3"/>
        <v>42736</v>
      </c>
      <c r="D40" s="177"/>
    </row>
    <row r="41" spans="1:10">
      <c r="A41" s="94">
        <v>42005</v>
      </c>
      <c r="B41" s="113">
        <f t="shared" si="2"/>
        <v>5</v>
      </c>
      <c r="C41" s="177">
        <f t="shared" si="3"/>
        <v>42005</v>
      </c>
      <c r="D41" s="177"/>
    </row>
    <row r="42" spans="1:10">
      <c r="A42" s="94">
        <v>41640</v>
      </c>
      <c r="B42" s="113">
        <f t="shared" si="2"/>
        <v>4</v>
      </c>
      <c r="C42" s="177">
        <f t="shared" si="3"/>
        <v>41640</v>
      </c>
      <c r="D42" s="177"/>
    </row>
    <row r="43" spans="1:10">
      <c r="A43" s="94">
        <v>41275</v>
      </c>
      <c r="B43" s="113">
        <f t="shared" si="2"/>
        <v>3</v>
      </c>
      <c r="C43" s="177">
        <f t="shared" si="3"/>
        <v>41271</v>
      </c>
      <c r="D43" s="177"/>
    </row>
  </sheetData>
  <mergeCells count="22">
    <mergeCell ref="C40:D40"/>
    <mergeCell ref="C41:D41"/>
    <mergeCell ref="C42:D42"/>
    <mergeCell ref="C43:D43"/>
    <mergeCell ref="A33:J34"/>
    <mergeCell ref="C36:D36"/>
    <mergeCell ref="C35:D35"/>
    <mergeCell ref="C37:D37"/>
    <mergeCell ref="C38:D38"/>
    <mergeCell ref="C39:D39"/>
    <mergeCell ref="C30:D30"/>
    <mergeCell ref="A1:B1"/>
    <mergeCell ref="A4:I5"/>
    <mergeCell ref="A19:B19"/>
    <mergeCell ref="A20:B20"/>
    <mergeCell ref="A21:B21"/>
    <mergeCell ref="A14:J15"/>
    <mergeCell ref="A23:B23"/>
    <mergeCell ref="A22:B22"/>
    <mergeCell ref="C27:D27"/>
    <mergeCell ref="C28:D28"/>
    <mergeCell ref="C29:D2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zoomScale="90" zoomScaleNormal="90" workbookViewId="0">
      <selection activeCell="C22" sqref="C22:C24"/>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178</v>
      </c>
      <c r="B1" s="170"/>
      <c r="C1" s="98"/>
      <c r="D1" s="73"/>
      <c r="E1" s="73"/>
      <c r="F1" s="73"/>
      <c r="G1" s="73"/>
      <c r="H1" s="73"/>
      <c r="I1" s="73"/>
      <c r="J1" s="73"/>
      <c r="K1" s="73"/>
    </row>
    <row r="2" spans="1:11" ht="15" thickTop="1"/>
    <row r="3" spans="1:11" ht="18">
      <c r="A3" s="71" t="s">
        <v>204</v>
      </c>
    </row>
    <row r="4" spans="1:11" ht="15" customHeight="1">
      <c r="A4" s="171" t="s">
        <v>617</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618</v>
      </c>
    </row>
    <row r="9" spans="1:11" ht="15.6">
      <c r="A9" s="70" t="s">
        <v>576</v>
      </c>
    </row>
    <row r="10" spans="1:11">
      <c r="A10" t="s">
        <v>619</v>
      </c>
    </row>
    <row r="11" spans="1:11">
      <c r="A11" s="109"/>
    </row>
    <row r="12" spans="1:11" ht="15.6">
      <c r="A12" s="70" t="s">
        <v>48</v>
      </c>
    </row>
    <row r="13" spans="1:11">
      <c r="A13" s="101" t="s">
        <v>606</v>
      </c>
    </row>
    <row r="14" spans="1:11">
      <c r="A14" s="151" t="s">
        <v>305</v>
      </c>
      <c r="B14" s="151"/>
      <c r="C14" s="75" t="s">
        <v>49</v>
      </c>
      <c r="D14" s="75" t="s">
        <v>218</v>
      </c>
    </row>
    <row r="15" spans="1:11">
      <c r="A15" s="178">
        <f ca="1">NOW()</f>
        <v>46079.902677314814</v>
      </c>
      <c r="B15" s="178"/>
      <c r="C15" s="106">
        <f ca="1">MINUTE(A15)</f>
        <v>39</v>
      </c>
      <c r="D15" s="106" t="s">
        <v>620</v>
      </c>
    </row>
    <row r="16" spans="1:11">
      <c r="A16" s="186">
        <v>0.42708333333333331</v>
      </c>
      <c r="B16" s="177"/>
      <c r="C16" s="106">
        <f>MINUTE(A16)</f>
        <v>15</v>
      </c>
      <c r="D16" s="106" t="s">
        <v>621</v>
      </c>
    </row>
    <row r="17" spans="1:4">
      <c r="A17" s="186">
        <v>0.93055555555555547</v>
      </c>
      <c r="B17" s="177"/>
      <c r="C17" s="106">
        <f>MINUTE(A17)</f>
        <v>20</v>
      </c>
      <c r="D17" s="106" t="s">
        <v>622</v>
      </c>
    </row>
    <row r="18" spans="1:4">
      <c r="A18" s="69"/>
      <c r="B18" s="69"/>
      <c r="C18" s="69"/>
    </row>
    <row r="19" spans="1:4" ht="15.6">
      <c r="A19" s="70" t="s">
        <v>236</v>
      </c>
    </row>
    <row r="20" spans="1:4">
      <c r="A20" s="101" t="s">
        <v>623</v>
      </c>
    </row>
    <row r="21" spans="1:4">
      <c r="A21" s="166" t="s">
        <v>305</v>
      </c>
      <c r="B21" s="168"/>
      <c r="C21" s="75" t="s">
        <v>339</v>
      </c>
    </row>
    <row r="22" spans="1:4">
      <c r="A22" s="178">
        <v>42766.034722222219</v>
      </c>
      <c r="B22" s="178">
        <v>1</v>
      </c>
      <c r="C22" s="106">
        <f>MINUTE(A22)</f>
        <v>50</v>
      </c>
    </row>
    <row r="23" spans="1:4">
      <c r="A23" s="178">
        <v>42736.000694444447</v>
      </c>
      <c r="B23" s="177">
        <v>2</v>
      </c>
      <c r="C23" s="106">
        <f t="shared" ref="C23:C24" si="0">MINUTE(A23)</f>
        <v>1</v>
      </c>
    </row>
    <row r="24" spans="1:4">
      <c r="A24" s="186">
        <v>3.125E-2</v>
      </c>
      <c r="B24" s="177">
        <v>3</v>
      </c>
      <c r="C24" s="106">
        <f t="shared" si="0"/>
        <v>45</v>
      </c>
    </row>
  </sheetData>
  <mergeCells count="10">
    <mergeCell ref="A22:B22"/>
    <mergeCell ref="A23:B23"/>
    <mergeCell ref="A24:B24"/>
    <mergeCell ref="A17:B17"/>
    <mergeCell ref="A21:B21"/>
    <mergeCell ref="A1:B1"/>
    <mergeCell ref="A4:I4"/>
    <mergeCell ref="A14:B14"/>
    <mergeCell ref="A15:B15"/>
    <mergeCell ref="A16:B16"/>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activeCell="C22" sqref="C22:C24"/>
    </sheetView>
  </sheetViews>
  <sheetFormatPr defaultRowHeight="14.4"/>
  <cols>
    <col min="1" max="1" width="12.88671875" customWidth="1"/>
    <col min="2" max="2" width="12.6640625" customWidth="1"/>
    <col min="3" max="3" width="10.109375" customWidth="1"/>
    <col min="4" max="5" width="17.109375" bestFit="1"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179</v>
      </c>
      <c r="B1" s="170"/>
      <c r="C1" s="98"/>
      <c r="D1" s="73"/>
      <c r="E1" s="73"/>
      <c r="F1" s="73"/>
      <c r="G1" s="73"/>
      <c r="H1" s="73"/>
      <c r="I1" s="73"/>
      <c r="J1" s="73"/>
      <c r="K1" s="73"/>
    </row>
    <row r="2" spans="1:11" ht="15" thickTop="1"/>
    <row r="3" spans="1:11" ht="18">
      <c r="A3" s="71" t="s">
        <v>204</v>
      </c>
    </row>
    <row r="4" spans="1:11" ht="15" customHeight="1">
      <c r="A4" s="171" t="s">
        <v>624</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625</v>
      </c>
    </row>
    <row r="9" spans="1:11" ht="15.6">
      <c r="A9" s="70" t="s">
        <v>576</v>
      </c>
    </row>
    <row r="10" spans="1:11">
      <c r="A10" t="s">
        <v>626</v>
      </c>
    </row>
    <row r="11" spans="1:11">
      <c r="A11" s="109"/>
    </row>
    <row r="12" spans="1:11" ht="15.6">
      <c r="A12" s="70" t="s">
        <v>48</v>
      </c>
    </row>
    <row r="13" spans="1:11">
      <c r="A13" s="101" t="s">
        <v>606</v>
      </c>
    </row>
    <row r="14" spans="1:11">
      <c r="A14" s="151" t="s">
        <v>305</v>
      </c>
      <c r="B14" s="151"/>
      <c r="C14" s="75" t="s">
        <v>49</v>
      </c>
      <c r="D14" s="75" t="s">
        <v>218</v>
      </c>
    </row>
    <row r="15" spans="1:11">
      <c r="A15" s="178">
        <f ca="1">NOW()</f>
        <v>46079.902677314814</v>
      </c>
      <c r="B15" s="178"/>
      <c r="C15" s="106">
        <f ca="1">HOUR(A15)</f>
        <v>21</v>
      </c>
      <c r="D15" s="106" t="s">
        <v>627</v>
      </c>
    </row>
    <row r="16" spans="1:11">
      <c r="A16" s="186">
        <v>0.42708333333333331</v>
      </c>
      <c r="B16" s="177"/>
      <c r="C16" s="106">
        <f t="shared" ref="C16:C17" si="0">HOUR(A16)</f>
        <v>10</v>
      </c>
      <c r="D16" s="106" t="s">
        <v>628</v>
      </c>
    </row>
    <row r="17" spans="1:4">
      <c r="A17" s="186">
        <v>0.99998842592592585</v>
      </c>
      <c r="B17" s="177"/>
      <c r="C17" s="106">
        <f t="shared" si="0"/>
        <v>23</v>
      </c>
      <c r="D17" s="106" t="s">
        <v>629</v>
      </c>
    </row>
    <row r="18" spans="1:4">
      <c r="A18" s="69"/>
      <c r="B18" s="69"/>
      <c r="C18" s="69"/>
    </row>
    <row r="19" spans="1:4" ht="15.6">
      <c r="A19" s="70" t="s">
        <v>236</v>
      </c>
    </row>
    <row r="20" spans="1:4">
      <c r="A20" s="101" t="s">
        <v>630</v>
      </c>
    </row>
    <row r="21" spans="1:4">
      <c r="A21" s="166" t="s">
        <v>305</v>
      </c>
      <c r="B21" s="168"/>
      <c r="C21" s="75" t="s">
        <v>339</v>
      </c>
    </row>
    <row r="22" spans="1:4">
      <c r="A22" s="178">
        <v>42766.034722222219</v>
      </c>
      <c r="B22" s="178">
        <v>1</v>
      </c>
      <c r="C22" s="106">
        <f>HOUR(A22)</f>
        <v>0</v>
      </c>
    </row>
    <row r="23" spans="1:4">
      <c r="A23" s="178">
        <v>42736.959027777775</v>
      </c>
      <c r="B23" s="177">
        <v>2</v>
      </c>
      <c r="C23" s="106">
        <f t="shared" ref="C23:C24" si="1">HOUR(A23)</f>
        <v>23</v>
      </c>
    </row>
    <row r="24" spans="1:4">
      <c r="A24" s="186">
        <v>0.23958333333333334</v>
      </c>
      <c r="B24" s="177">
        <v>3</v>
      </c>
      <c r="C24" s="106">
        <f t="shared" si="1"/>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abSelected="1" topLeftCell="A74" zoomScale="90" zoomScaleNormal="90" workbookViewId="0">
      <selection activeCell="H101" sqref="H10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70" t="s">
        <v>180</v>
      </c>
      <c r="B1" s="170"/>
      <c r="C1" s="170"/>
      <c r="D1" s="73"/>
      <c r="E1" s="73"/>
      <c r="F1" s="73"/>
      <c r="G1" s="73"/>
      <c r="H1" s="73"/>
      <c r="I1" s="73"/>
      <c r="J1" s="73"/>
      <c r="K1" s="73"/>
    </row>
    <row r="2" spans="1:11" ht="15" thickTop="1"/>
    <row r="3" spans="1:11" ht="18">
      <c r="A3" s="71" t="s">
        <v>204</v>
      </c>
    </row>
    <row r="4" spans="1:11" ht="15" customHeight="1">
      <c r="A4" s="171" t="s">
        <v>762</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758</v>
      </c>
    </row>
    <row r="9" spans="1:11" ht="15.6">
      <c r="A9" s="70" t="s">
        <v>757</v>
      </c>
    </row>
    <row r="10" spans="1:11">
      <c r="A10" t="s">
        <v>763</v>
      </c>
    </row>
    <row r="11" spans="1:11">
      <c r="A11" s="109"/>
    </row>
    <row r="12" spans="1:11" ht="15.6">
      <c r="A12" s="70" t="s">
        <v>759</v>
      </c>
    </row>
    <row r="13" spans="1:11">
      <c r="A13" s="150" t="s">
        <v>803</v>
      </c>
      <c r="B13" s="150"/>
      <c r="C13" s="150"/>
      <c r="D13" s="150"/>
      <c r="E13" s="150"/>
      <c r="F13" s="150"/>
      <c r="G13" s="150"/>
      <c r="H13" s="150"/>
      <c r="I13" s="150"/>
      <c r="J13" s="150"/>
    </row>
    <row r="14" spans="1:11">
      <c r="A14" s="150"/>
      <c r="B14" s="150"/>
      <c r="C14" s="150"/>
      <c r="D14" s="150"/>
      <c r="E14" s="150"/>
      <c r="F14" s="150"/>
      <c r="G14" s="150"/>
      <c r="H14" s="150"/>
      <c r="I14" s="150"/>
      <c r="J14" s="150"/>
    </row>
    <row r="15" spans="1:11">
      <c r="A15" s="81"/>
      <c r="B15" s="81"/>
      <c r="C15" s="81"/>
      <c r="D15" s="81"/>
      <c r="E15" s="81"/>
      <c r="F15" s="81"/>
      <c r="G15" s="81"/>
      <c r="H15" s="81"/>
      <c r="I15" s="81"/>
      <c r="J15" s="81"/>
    </row>
    <row r="16" spans="1:11" ht="15.6">
      <c r="A16" s="70" t="s">
        <v>760</v>
      </c>
    </row>
    <row r="17" spans="1:16">
      <c r="A17" t="s">
        <v>764</v>
      </c>
    </row>
    <row r="18" spans="1:16">
      <c r="A18" s="109"/>
    </row>
    <row r="19" spans="1:16" ht="15.6">
      <c r="A19" s="70" t="s">
        <v>761</v>
      </c>
    </row>
    <row r="20" spans="1:16">
      <c r="A20" t="s">
        <v>797</v>
      </c>
    </row>
    <row r="21" spans="1:16">
      <c r="A21" s="109"/>
    </row>
    <row r="22" spans="1:16" ht="15.6">
      <c r="A22" s="70" t="s">
        <v>44</v>
      </c>
    </row>
    <row r="23" spans="1:16">
      <c r="A23" s="101" t="s">
        <v>768</v>
      </c>
    </row>
    <row r="24" spans="1:16">
      <c r="A24" s="75" t="s">
        <v>90</v>
      </c>
      <c r="B24" s="75" t="s">
        <v>765</v>
      </c>
      <c r="C24" s="75" t="s">
        <v>766</v>
      </c>
      <c r="D24" s="75" t="s">
        <v>767</v>
      </c>
    </row>
    <row r="25" spans="1:16">
      <c r="A25" s="74" t="s">
        <v>95</v>
      </c>
      <c r="B25" s="128">
        <v>2500</v>
      </c>
      <c r="C25" s="128">
        <v>2000</v>
      </c>
      <c r="D25" s="128">
        <v>3000</v>
      </c>
    </row>
    <row r="26" spans="1:16">
      <c r="A26" s="74" t="s">
        <v>96</v>
      </c>
      <c r="B26" s="128">
        <v>5000</v>
      </c>
      <c r="C26" s="128">
        <v>4999</v>
      </c>
      <c r="D26" s="128">
        <v>5200</v>
      </c>
    </row>
    <row r="27" spans="1:16">
      <c r="A27" s="74" t="s">
        <v>97</v>
      </c>
      <c r="B27" s="128">
        <v>1250</v>
      </c>
      <c r="C27" s="128">
        <v>1302</v>
      </c>
      <c r="D27" s="128">
        <v>1100</v>
      </c>
    </row>
    <row r="28" spans="1:16">
      <c r="A28" s="74" t="s">
        <v>92</v>
      </c>
      <c r="B28" s="128">
        <v>250</v>
      </c>
      <c r="C28" s="128">
        <v>300</v>
      </c>
      <c r="D28" s="128">
        <v>200</v>
      </c>
    </row>
    <row r="29" spans="1:16">
      <c r="A29" s="74" t="s">
        <v>98</v>
      </c>
      <c r="B29" s="128">
        <v>300</v>
      </c>
      <c r="C29" s="128">
        <v>290</v>
      </c>
      <c r="D29" s="128">
        <v>310</v>
      </c>
    </row>
    <row r="30" spans="1:16">
      <c r="A30" s="1"/>
      <c r="B30" s="1"/>
      <c r="C30" s="1"/>
      <c r="D30" s="1"/>
    </row>
    <row r="31" spans="1:16" ht="15" customHeight="1">
      <c r="A31" s="75" t="s">
        <v>87</v>
      </c>
      <c r="B31" s="75" t="s">
        <v>88</v>
      </c>
      <c r="C31" s="75" t="s">
        <v>89</v>
      </c>
      <c r="D31" s="151" t="s">
        <v>218</v>
      </c>
      <c r="E31" s="151"/>
      <c r="F31" s="151"/>
      <c r="H31" s="187" t="s">
        <v>777</v>
      </c>
      <c r="I31" s="187"/>
      <c r="J31" s="187"/>
      <c r="K31" s="187"/>
      <c r="L31" s="187"/>
      <c r="M31" s="187"/>
      <c r="N31" s="187"/>
      <c r="O31" s="187"/>
      <c r="P31" s="187"/>
    </row>
    <row r="32" spans="1:16">
      <c r="A32" s="74" t="s">
        <v>765</v>
      </c>
      <c r="B32" s="74" t="s">
        <v>92</v>
      </c>
      <c r="C32" s="66">
        <f>VLOOKUP(B32,$A$25:$B$29,2,FALSE)</f>
        <v>250</v>
      </c>
      <c r="D32" s="189" t="s">
        <v>769</v>
      </c>
      <c r="E32" s="189"/>
      <c r="F32" s="189"/>
      <c r="H32" s="187"/>
      <c r="I32" s="187"/>
      <c r="J32" s="187"/>
      <c r="K32" s="187"/>
      <c r="L32" s="187"/>
      <c r="M32" s="187"/>
      <c r="N32" s="187"/>
      <c r="O32" s="187"/>
      <c r="P32" s="187"/>
    </row>
    <row r="33" spans="1:16">
      <c r="A33" s="74" t="s">
        <v>766</v>
      </c>
      <c r="B33" s="74" t="s">
        <v>95</v>
      </c>
      <c r="C33" s="66">
        <f>VLOOKUP(B33,$A$25:$C$29,3,FALSE)</f>
        <v>2000</v>
      </c>
      <c r="D33" s="189" t="s">
        <v>770</v>
      </c>
      <c r="E33" s="189"/>
      <c r="F33" s="189"/>
      <c r="H33" s="187"/>
      <c r="I33" s="187"/>
      <c r="J33" s="187"/>
      <c r="K33" s="187"/>
      <c r="L33" s="187"/>
      <c r="M33" s="187"/>
      <c r="N33" s="187"/>
      <c r="O33" s="187"/>
      <c r="P33" s="187"/>
    </row>
    <row r="34" spans="1:16">
      <c r="A34" s="74" t="s">
        <v>767</v>
      </c>
      <c r="B34" s="74" t="s">
        <v>96</v>
      </c>
      <c r="C34" s="66">
        <f>VLOOKUP(B34,$A$25:$D$29,4,FALSE)</f>
        <v>5200</v>
      </c>
      <c r="D34" s="189" t="s">
        <v>771</v>
      </c>
      <c r="E34" s="189"/>
      <c r="F34" s="189"/>
      <c r="H34" s="187"/>
      <c r="I34" s="187"/>
      <c r="J34" s="187"/>
      <c r="K34" s="187"/>
      <c r="L34" s="187"/>
      <c r="M34" s="187"/>
      <c r="N34" s="187"/>
      <c r="O34" s="187"/>
      <c r="P34" s="187"/>
    </row>
    <row r="35" spans="1:16">
      <c r="A35" s="74" t="s">
        <v>767</v>
      </c>
      <c r="B35" s="74" t="s">
        <v>97</v>
      </c>
      <c r="C35" s="66">
        <f>VLOOKUP(B35,$A$25:$D$29,4,FALSE)</f>
        <v>1100</v>
      </c>
      <c r="D35" s="189" t="s">
        <v>772</v>
      </c>
      <c r="E35" s="189"/>
      <c r="F35" s="189"/>
      <c r="H35" s="187"/>
      <c r="I35" s="187"/>
      <c r="J35" s="187"/>
      <c r="K35" s="187"/>
      <c r="L35" s="187"/>
      <c r="M35" s="187"/>
      <c r="N35" s="187"/>
      <c r="O35" s="187"/>
      <c r="P35" s="187"/>
    </row>
    <row r="36" spans="1:16">
      <c r="A36" s="74" t="s">
        <v>765</v>
      </c>
      <c r="B36" s="74" t="s">
        <v>92</v>
      </c>
      <c r="C36" s="66">
        <f>VLOOKUP(B36,$A$25:$B$29,2,FALSE)</f>
        <v>250</v>
      </c>
      <c r="D36" s="189" t="s">
        <v>773</v>
      </c>
      <c r="E36" s="189"/>
      <c r="F36" s="189"/>
      <c r="H36" s="187"/>
      <c r="I36" s="187"/>
      <c r="J36" s="187"/>
      <c r="K36" s="187"/>
      <c r="L36" s="187"/>
      <c r="M36" s="187"/>
      <c r="N36" s="187"/>
      <c r="O36" s="187"/>
      <c r="P36" s="187"/>
    </row>
    <row r="37" spans="1:16">
      <c r="A37" s="74" t="s">
        <v>765</v>
      </c>
      <c r="B37" s="74" t="s">
        <v>98</v>
      </c>
      <c r="C37" s="66">
        <f>VLOOKUP(B37,$A$25:$B$29,2,FALSE)</f>
        <v>300</v>
      </c>
      <c r="D37" s="189" t="s">
        <v>774</v>
      </c>
      <c r="E37" s="189"/>
      <c r="F37" s="189"/>
      <c r="H37" s="187"/>
      <c r="I37" s="187"/>
      <c r="J37" s="187"/>
      <c r="K37" s="187"/>
      <c r="L37" s="187"/>
      <c r="M37" s="187"/>
      <c r="N37" s="187"/>
      <c r="O37" s="187"/>
      <c r="P37" s="187"/>
    </row>
    <row r="38" spans="1:16">
      <c r="A38" s="74" t="s">
        <v>766</v>
      </c>
      <c r="B38" s="74" t="s">
        <v>95</v>
      </c>
      <c r="C38" s="66">
        <f>VLOOKUP(B38,$A$25:$C$29,3,FALSE)</f>
        <v>2000</v>
      </c>
      <c r="D38" s="189" t="s">
        <v>775</v>
      </c>
      <c r="E38" s="189"/>
      <c r="F38" s="189"/>
      <c r="H38" s="187"/>
      <c r="I38" s="187"/>
      <c r="J38" s="187"/>
      <c r="K38" s="187"/>
      <c r="L38" s="187"/>
      <c r="M38" s="187"/>
      <c r="N38" s="187"/>
      <c r="O38" s="187"/>
      <c r="P38" s="187"/>
    </row>
    <row r="39" spans="1:16">
      <c r="A39" s="74" t="s">
        <v>766</v>
      </c>
      <c r="B39" s="74" t="s">
        <v>96</v>
      </c>
      <c r="C39" s="66">
        <f>VLOOKUP(B39,$A$25:$C$29,3,FALSE)</f>
        <v>4999</v>
      </c>
      <c r="D39" s="189" t="s">
        <v>776</v>
      </c>
      <c r="E39" s="189"/>
      <c r="F39" s="189"/>
      <c r="H39" s="187"/>
      <c r="I39" s="187"/>
      <c r="J39" s="187"/>
      <c r="K39" s="187"/>
      <c r="L39" s="187"/>
      <c r="M39" s="187"/>
      <c r="N39" s="187"/>
      <c r="O39" s="187"/>
      <c r="P39" s="187"/>
    </row>
    <row r="42" spans="1:16" ht="15.6">
      <c r="A42" s="70" t="s">
        <v>78</v>
      </c>
    </row>
    <row r="43" spans="1:16">
      <c r="A43" s="150" t="s">
        <v>778</v>
      </c>
      <c r="B43" s="150"/>
      <c r="C43" s="150"/>
      <c r="D43" s="150"/>
      <c r="E43" s="150"/>
      <c r="F43" s="150"/>
      <c r="G43" s="150"/>
      <c r="H43" s="150"/>
      <c r="I43" s="150"/>
      <c r="J43" s="150"/>
    </row>
    <row r="44" spans="1:16">
      <c r="A44" s="150"/>
      <c r="B44" s="150"/>
      <c r="C44" s="150"/>
      <c r="D44" s="150"/>
      <c r="E44" s="150"/>
      <c r="F44" s="150"/>
      <c r="G44" s="150"/>
      <c r="H44" s="150"/>
      <c r="I44" s="150"/>
      <c r="J44" s="150"/>
    </row>
    <row r="45" spans="1:16">
      <c r="A45" s="188" t="s">
        <v>137</v>
      </c>
      <c r="B45" s="188"/>
      <c r="C45" s="81"/>
      <c r="D45" s="188" t="s">
        <v>138</v>
      </c>
      <c r="E45" s="188"/>
      <c r="F45" s="81"/>
      <c r="G45" s="81"/>
      <c r="H45" s="81"/>
      <c r="I45" s="81"/>
      <c r="J45" s="81"/>
    </row>
    <row r="46" spans="1:16">
      <c r="A46" s="75" t="s">
        <v>779</v>
      </c>
      <c r="B46" s="75" t="s">
        <v>89</v>
      </c>
      <c r="D46" s="75" t="s">
        <v>779</v>
      </c>
      <c r="E46" s="75" t="s">
        <v>784</v>
      </c>
    </row>
    <row r="47" spans="1:16">
      <c r="A47" s="74" t="s">
        <v>780</v>
      </c>
      <c r="B47" s="129">
        <v>5.0999999999999996</v>
      </c>
      <c r="D47" s="74" t="s">
        <v>780</v>
      </c>
      <c r="E47" s="129">
        <v>7.5</v>
      </c>
    </row>
    <row r="48" spans="1:16">
      <c r="A48" s="74" t="s">
        <v>781</v>
      </c>
      <c r="B48" s="129">
        <v>1.1000000000000001</v>
      </c>
      <c r="D48" s="74" t="s">
        <v>781</v>
      </c>
      <c r="E48" s="129">
        <v>1.1499999999999999</v>
      </c>
    </row>
    <row r="49" spans="1:11">
      <c r="A49" s="74" t="s">
        <v>782</v>
      </c>
      <c r="B49" s="129">
        <v>1.5</v>
      </c>
      <c r="D49" s="74" t="s">
        <v>782</v>
      </c>
      <c r="E49" s="129">
        <v>2.5</v>
      </c>
    </row>
    <row r="50" spans="1:11">
      <c r="A50" s="74" t="s">
        <v>783</v>
      </c>
      <c r="B50" s="129">
        <v>2.5</v>
      </c>
      <c r="D50" s="74" t="s">
        <v>783</v>
      </c>
      <c r="E50" s="129">
        <v>3.75</v>
      </c>
    </row>
    <row r="52" spans="1:11">
      <c r="A52" s="151" t="s">
        <v>785</v>
      </c>
      <c r="B52" s="151"/>
      <c r="C52" s="151"/>
      <c r="D52" s="151"/>
      <c r="E52" s="151"/>
      <c r="F52" s="151"/>
      <c r="G52" s="151"/>
      <c r="H52" s="151"/>
      <c r="I52" s="151"/>
      <c r="J52" s="151"/>
      <c r="K52" s="151"/>
    </row>
    <row r="53" spans="1:11">
      <c r="A53" s="75" t="s">
        <v>779</v>
      </c>
      <c r="B53" s="75" t="s">
        <v>130</v>
      </c>
      <c r="C53" s="75" t="s">
        <v>89</v>
      </c>
      <c r="D53" s="75" t="s">
        <v>784</v>
      </c>
      <c r="E53" s="75" t="s">
        <v>786</v>
      </c>
      <c r="F53" s="151" t="s">
        <v>791</v>
      </c>
      <c r="G53" s="151"/>
      <c r="H53" s="151"/>
      <c r="I53" s="151" t="s">
        <v>796</v>
      </c>
      <c r="J53" s="151"/>
      <c r="K53" s="151"/>
    </row>
    <row r="54" spans="1:11">
      <c r="A54" s="74" t="s">
        <v>780</v>
      </c>
      <c r="B54" s="106">
        <v>500</v>
      </c>
      <c r="C54" s="131">
        <f>VLOOKUP(A54,$A$47:$B$50,2,FALSE)</f>
        <v>5.0999999999999996</v>
      </c>
      <c r="D54" s="130">
        <f>VLOOKUP(A54,$D$47:$E$50,2,FALSE)</f>
        <v>7.5</v>
      </c>
      <c r="E54" s="129">
        <f>(D54-C54)*B54</f>
        <v>1200.0000000000002</v>
      </c>
      <c r="F54" s="190" t="s">
        <v>787</v>
      </c>
      <c r="G54" s="190"/>
      <c r="H54" s="190"/>
      <c r="I54" s="189" t="s">
        <v>792</v>
      </c>
      <c r="J54" s="189"/>
      <c r="K54" s="189"/>
    </row>
    <row r="55" spans="1:11">
      <c r="A55" s="74" t="s">
        <v>781</v>
      </c>
      <c r="B55" s="106">
        <v>100</v>
      </c>
      <c r="C55" s="131">
        <f t="shared" ref="C55:C58" si="0">VLOOKUP(A55,$A$47:$B$50,2,FALSE)</f>
        <v>1.1000000000000001</v>
      </c>
      <c r="D55" s="130">
        <f t="shared" ref="D55:D58" si="1">VLOOKUP(A55,$D$47:$E$50,2,FALSE)</f>
        <v>1.1499999999999999</v>
      </c>
      <c r="E55" s="129">
        <f t="shared" ref="E55:E57" si="2">(D55-C55)*B55</f>
        <v>4.9999999999999822</v>
      </c>
      <c r="F55" s="190" t="s">
        <v>788</v>
      </c>
      <c r="G55" s="190"/>
      <c r="H55" s="190"/>
      <c r="I55" s="189" t="s">
        <v>793</v>
      </c>
      <c r="J55" s="189"/>
      <c r="K55" s="189"/>
    </row>
    <row r="56" spans="1:11">
      <c r="A56" s="74" t="s">
        <v>782</v>
      </c>
      <c r="B56" s="106">
        <v>250</v>
      </c>
      <c r="C56" s="131">
        <f t="shared" si="0"/>
        <v>1.5</v>
      </c>
      <c r="D56" s="130">
        <f t="shared" si="1"/>
        <v>2.5</v>
      </c>
      <c r="E56" s="129">
        <f t="shared" si="2"/>
        <v>250</v>
      </c>
      <c r="F56" s="190" t="s">
        <v>789</v>
      </c>
      <c r="G56" s="190"/>
      <c r="H56" s="190"/>
      <c r="I56" s="189" t="s">
        <v>794</v>
      </c>
      <c r="J56" s="189"/>
      <c r="K56" s="189"/>
    </row>
    <row r="57" spans="1:11">
      <c r="A57" s="74" t="s">
        <v>783</v>
      </c>
      <c r="B57" s="106">
        <v>100</v>
      </c>
      <c r="C57" s="131">
        <f t="shared" si="0"/>
        <v>2.5</v>
      </c>
      <c r="D57" s="130">
        <f t="shared" si="1"/>
        <v>3.75</v>
      </c>
      <c r="E57" s="129">
        <f t="shared" si="2"/>
        <v>125</v>
      </c>
      <c r="F57" s="190" t="s">
        <v>790</v>
      </c>
      <c r="G57" s="190"/>
      <c r="H57" s="190"/>
      <c r="I57" s="189" t="s">
        <v>795</v>
      </c>
      <c r="J57" s="189"/>
      <c r="K57" s="189"/>
    </row>
    <row r="58" spans="1:11">
      <c r="A58" s="74" t="s">
        <v>798</v>
      </c>
      <c r="B58" s="106">
        <v>990</v>
      </c>
      <c r="C58" s="131" t="e">
        <f t="shared" si="0"/>
        <v>#N/A</v>
      </c>
      <c r="D58" s="130" t="e">
        <f t="shared" si="1"/>
        <v>#N/A</v>
      </c>
      <c r="E58" s="129"/>
      <c r="F58" s="190" t="s">
        <v>799</v>
      </c>
      <c r="G58" s="190"/>
      <c r="H58" s="190"/>
      <c r="I58" s="189" t="s">
        <v>800</v>
      </c>
      <c r="J58" s="189"/>
      <c r="K58" s="189"/>
    </row>
    <row r="59" spans="1:11">
      <c r="A59" s="133" t="s">
        <v>814</v>
      </c>
    </row>
    <row r="63" spans="1:11" ht="15" customHeight="1">
      <c r="B63" s="157" t="s">
        <v>801</v>
      </c>
      <c r="C63" s="157"/>
      <c r="D63" s="157"/>
    </row>
    <row r="64" spans="1:11">
      <c r="B64" s="157"/>
      <c r="C64" s="157"/>
      <c r="D64" s="157"/>
    </row>
    <row r="65" spans="1:10">
      <c r="B65" s="157"/>
      <c r="C65" s="157"/>
      <c r="D65" s="157"/>
    </row>
    <row r="66" spans="1:10">
      <c r="B66" s="157"/>
      <c r="C66" s="157"/>
      <c r="D66" s="157"/>
    </row>
    <row r="69" spans="1:10" ht="15.6">
      <c r="A69" s="70" t="s">
        <v>455</v>
      </c>
    </row>
    <row r="70" spans="1:10">
      <c r="A70" s="150" t="s">
        <v>802</v>
      </c>
      <c r="B70" s="150"/>
      <c r="C70" s="150"/>
      <c r="D70" s="150"/>
      <c r="E70" s="150"/>
      <c r="F70" s="150"/>
      <c r="G70" s="150"/>
      <c r="H70" s="150"/>
      <c r="I70" s="150"/>
      <c r="J70" s="150"/>
    </row>
    <row r="71" spans="1:10">
      <c r="A71" s="150"/>
      <c r="B71" s="150"/>
      <c r="C71" s="150"/>
      <c r="D71" s="150"/>
      <c r="E71" s="150"/>
      <c r="F71" s="150"/>
      <c r="G71" s="150"/>
      <c r="H71" s="150"/>
      <c r="I71" s="150"/>
      <c r="J71" s="150"/>
    </row>
    <row r="72" spans="1:10">
      <c r="A72" s="188" t="s">
        <v>137</v>
      </c>
      <c r="B72" s="188"/>
      <c r="C72" s="81"/>
      <c r="D72" s="188" t="s">
        <v>138</v>
      </c>
      <c r="E72" s="188"/>
      <c r="F72" s="81"/>
      <c r="G72" s="188" t="s">
        <v>785</v>
      </c>
      <c r="H72" s="188"/>
      <c r="I72" s="81"/>
      <c r="J72" s="81"/>
    </row>
    <row r="73" spans="1:10">
      <c r="A73" s="75" t="s">
        <v>804</v>
      </c>
      <c r="B73" s="75" t="s">
        <v>225</v>
      </c>
      <c r="D73" s="75" t="s">
        <v>804</v>
      </c>
      <c r="E73" s="75" t="s">
        <v>228</v>
      </c>
      <c r="G73" s="75" t="s">
        <v>804</v>
      </c>
      <c r="H73" s="75" t="s">
        <v>811</v>
      </c>
    </row>
    <row r="74" spans="1:10">
      <c r="A74" s="74" t="s">
        <v>805</v>
      </c>
      <c r="B74" s="132" t="s">
        <v>226</v>
      </c>
      <c r="D74" s="74" t="s">
        <v>805</v>
      </c>
      <c r="E74" s="132">
        <v>85000</v>
      </c>
      <c r="G74" s="74" t="s">
        <v>805</v>
      </c>
      <c r="H74" s="132" t="s">
        <v>692</v>
      </c>
    </row>
    <row r="75" spans="1:10">
      <c r="A75" s="74" t="s">
        <v>806</v>
      </c>
      <c r="B75" s="132" t="s">
        <v>810</v>
      </c>
      <c r="D75" s="74" t="s">
        <v>806</v>
      </c>
      <c r="E75" s="132">
        <v>60000</v>
      </c>
      <c r="G75" s="74" t="s">
        <v>806</v>
      </c>
      <c r="H75" s="132" t="s">
        <v>692</v>
      </c>
    </row>
    <row r="76" spans="1:10">
      <c r="A76" s="74" t="s">
        <v>807</v>
      </c>
      <c r="B76" s="132" t="s">
        <v>226</v>
      </c>
      <c r="D76" s="74" t="s">
        <v>807</v>
      </c>
      <c r="E76" s="132">
        <v>65000</v>
      </c>
      <c r="G76" s="74" t="s">
        <v>807</v>
      </c>
      <c r="H76" s="132" t="s">
        <v>693</v>
      </c>
    </row>
    <row r="77" spans="1:10">
      <c r="A77" s="74" t="s">
        <v>808</v>
      </c>
      <c r="B77" s="132" t="s">
        <v>227</v>
      </c>
      <c r="D77" s="74" t="s">
        <v>808</v>
      </c>
      <c r="E77" s="132">
        <v>50000</v>
      </c>
      <c r="G77" s="74" t="s">
        <v>808</v>
      </c>
      <c r="H77" s="132" t="s">
        <v>691</v>
      </c>
    </row>
    <row r="78" spans="1:10">
      <c r="A78" s="74" t="s">
        <v>809</v>
      </c>
      <c r="B78" s="132" t="s">
        <v>227</v>
      </c>
      <c r="D78" s="74" t="s">
        <v>809</v>
      </c>
      <c r="E78" s="132">
        <v>45000</v>
      </c>
      <c r="G78" s="74" t="s">
        <v>809</v>
      </c>
      <c r="H78" s="132" t="s">
        <v>693</v>
      </c>
    </row>
    <row r="81" spans="1:6">
      <c r="A81" s="151" t="s">
        <v>812</v>
      </c>
      <c r="B81" s="151"/>
      <c r="C81" s="151"/>
      <c r="D81" s="151"/>
    </row>
    <row r="82" spans="1:6">
      <c r="A82" s="75" t="s">
        <v>804</v>
      </c>
      <c r="B82" s="75" t="s">
        <v>225</v>
      </c>
      <c r="C82" s="75" t="s">
        <v>228</v>
      </c>
      <c r="D82" s="75" t="s">
        <v>811</v>
      </c>
    </row>
    <row r="83" spans="1:6">
      <c r="A83" s="74" t="s">
        <v>808</v>
      </c>
      <c r="B83" s="79" t="str">
        <f>VLOOKUP(A83, $A$74:$B$78, 2, FALSE)</f>
        <v>Analyst</v>
      </c>
      <c r="C83" s="132">
        <f>VLOOKUP(A83,$D$74:$E$78, 2, FALSE)</f>
        <v>50000</v>
      </c>
      <c r="D83" s="79" t="str">
        <f>VLOOKUP(A83,$G$74:$H$78, 2, FALSE)</f>
        <v>HR</v>
      </c>
    </row>
    <row r="84" spans="1:6">
      <c r="A84" s="74" t="s">
        <v>809</v>
      </c>
      <c r="B84" s="79" t="str">
        <f t="shared" ref="B84:B88" si="3">VLOOKUP(A84, $A$74:$B$78, 2, FALSE)</f>
        <v>Analyst</v>
      </c>
      <c r="C84" s="132">
        <f t="shared" ref="C84:C88" si="4">VLOOKUP(A84,$D$74:$E$78, 2, FALSE)</f>
        <v>45000</v>
      </c>
      <c r="D84" s="79" t="str">
        <f t="shared" ref="D84:D88" si="5">VLOOKUP(A84,$G$74:$H$78, 2, FALSE)</f>
        <v>IT</v>
      </c>
    </row>
    <row r="85" spans="1:6">
      <c r="A85" s="74" t="s">
        <v>807</v>
      </c>
      <c r="B85" s="79" t="str">
        <f t="shared" si="3"/>
        <v>AVP</v>
      </c>
      <c r="C85" s="132">
        <f t="shared" si="4"/>
        <v>65000</v>
      </c>
      <c r="D85" s="79" t="str">
        <f t="shared" si="5"/>
        <v>IT</v>
      </c>
    </row>
    <row r="86" spans="1:6">
      <c r="A86" s="74" t="s">
        <v>805</v>
      </c>
      <c r="B86" s="79" t="str">
        <f t="shared" si="3"/>
        <v>AVP</v>
      </c>
      <c r="C86" s="132">
        <f t="shared" si="4"/>
        <v>85000</v>
      </c>
      <c r="D86" s="79" t="str">
        <f t="shared" si="5"/>
        <v>Analytics</v>
      </c>
    </row>
    <row r="87" spans="1:6">
      <c r="A87" s="74" t="s">
        <v>813</v>
      </c>
      <c r="B87" s="79" t="e">
        <f t="shared" si="3"/>
        <v>#N/A</v>
      </c>
      <c r="C87" s="132" t="e">
        <f t="shared" si="4"/>
        <v>#N/A</v>
      </c>
      <c r="D87" s="79" t="e">
        <f t="shared" si="5"/>
        <v>#N/A</v>
      </c>
    </row>
    <row r="88" spans="1:6">
      <c r="A88" s="74" t="s">
        <v>806</v>
      </c>
      <c r="B88" s="79" t="str">
        <f t="shared" si="3"/>
        <v>Analayst</v>
      </c>
      <c r="C88" s="132">
        <f t="shared" si="4"/>
        <v>60000</v>
      </c>
      <c r="D88" s="79" t="str">
        <f t="shared" si="5"/>
        <v>Analytics</v>
      </c>
    </row>
    <row r="91" spans="1:6" ht="15.6">
      <c r="A91" s="70" t="s">
        <v>456</v>
      </c>
    </row>
    <row r="92" spans="1:6">
      <c r="A92" s="101" t="s">
        <v>815</v>
      </c>
    </row>
    <row r="93" spans="1:6" ht="15" customHeight="1">
      <c r="A93" s="75" t="s">
        <v>90</v>
      </c>
      <c r="B93" s="75" t="s">
        <v>95</v>
      </c>
      <c r="C93" s="75" t="s">
        <v>96</v>
      </c>
      <c r="D93" s="75" t="s">
        <v>97</v>
      </c>
      <c r="E93" s="75" t="s">
        <v>92</v>
      </c>
      <c r="F93" s="75" t="s">
        <v>98</v>
      </c>
    </row>
    <row r="94" spans="1:6">
      <c r="A94" s="74" t="s">
        <v>765</v>
      </c>
      <c r="B94" s="128">
        <v>2500</v>
      </c>
      <c r="C94" s="128">
        <v>5000</v>
      </c>
      <c r="D94" s="128">
        <v>1250</v>
      </c>
      <c r="E94" s="128">
        <v>250</v>
      </c>
      <c r="F94" s="128">
        <v>300</v>
      </c>
    </row>
    <row r="95" spans="1:6">
      <c r="A95" s="74" t="s">
        <v>766</v>
      </c>
      <c r="B95" s="128">
        <v>2000</v>
      </c>
      <c r="C95" s="128">
        <v>4999</v>
      </c>
      <c r="D95" s="128">
        <v>1302</v>
      </c>
      <c r="E95" s="128">
        <v>300</v>
      </c>
      <c r="F95" s="128">
        <v>290</v>
      </c>
    </row>
    <row r="96" spans="1:6">
      <c r="A96" s="74" t="s">
        <v>767</v>
      </c>
      <c r="B96" s="128">
        <v>3000</v>
      </c>
      <c r="C96" s="128">
        <v>5200</v>
      </c>
      <c r="D96" s="128">
        <v>1100</v>
      </c>
      <c r="E96" s="128">
        <v>200</v>
      </c>
      <c r="F96" s="128">
        <v>310</v>
      </c>
    </row>
    <row r="98" spans="1:9">
      <c r="A98" s="75" t="s">
        <v>87</v>
      </c>
      <c r="B98" s="74" t="s">
        <v>765</v>
      </c>
      <c r="C98" s="74" t="s">
        <v>766</v>
      </c>
      <c r="D98" s="74" t="s">
        <v>767</v>
      </c>
      <c r="E98" s="74" t="s">
        <v>767</v>
      </c>
      <c r="F98" s="74" t="s">
        <v>765</v>
      </c>
      <c r="G98" s="74" t="s">
        <v>765</v>
      </c>
      <c r="H98" s="74" t="s">
        <v>766</v>
      </c>
      <c r="I98" s="74" t="s">
        <v>766</v>
      </c>
    </row>
    <row r="99" spans="1:9">
      <c r="A99" s="75" t="s">
        <v>88</v>
      </c>
      <c r="B99" s="74" t="s">
        <v>98</v>
      </c>
      <c r="C99" s="74" t="s">
        <v>95</v>
      </c>
      <c r="D99" s="74" t="s">
        <v>817</v>
      </c>
      <c r="E99" s="74" t="s">
        <v>97</v>
      </c>
      <c r="F99" s="74" t="s">
        <v>92</v>
      </c>
      <c r="G99" s="74" t="s">
        <v>96</v>
      </c>
      <c r="H99" s="74" t="s">
        <v>95</v>
      </c>
      <c r="I99" s="74" t="s">
        <v>96</v>
      </c>
    </row>
    <row r="100" spans="1:9">
      <c r="A100" s="75" t="s">
        <v>816</v>
      </c>
      <c r="B100" s="128">
        <f>VLOOKUP(B98, $A$94:$F$96, 6, FALSE)</f>
        <v>300</v>
      </c>
      <c r="C100" s="128">
        <f>VLOOKUP(C98, $A$94:$F$96, 2, FALSE)</f>
        <v>2000</v>
      </c>
      <c r="D100" s="128">
        <f>VLOOKUP(D98, $A$94:$F$96, 2, FALSE)</f>
        <v>3000</v>
      </c>
      <c r="E100" s="128">
        <f>VLOOKUP(E98, $A$94:$F$96, 4, FALSE)</f>
        <v>1100</v>
      </c>
      <c r="F100" s="128">
        <f>VLOOKUP(F98, $A$93:$F$96, 5, FALSE)</f>
        <v>250</v>
      </c>
      <c r="G100" s="128">
        <f>VLOOKUP(G98, $A$94:$F$96, 3, FALSE)</f>
        <v>5000</v>
      </c>
      <c r="H100" s="128">
        <f>VLOOKUP(H98, $A$93:$F$96, 2, FALSE)</f>
        <v>2000</v>
      </c>
      <c r="I100" s="128">
        <f>VLOOKUP(I98, $A$93:$F$96, 3, FALSE)</f>
        <v>4999</v>
      </c>
    </row>
  </sheetData>
  <mergeCells count="35">
    <mergeCell ref="A81:D81"/>
    <mergeCell ref="A52:K52"/>
    <mergeCell ref="F58:H58"/>
    <mergeCell ref="I58:K58"/>
    <mergeCell ref="B63:D66"/>
    <mergeCell ref="A70:J71"/>
    <mergeCell ref="F57:H57"/>
    <mergeCell ref="F53:H53"/>
    <mergeCell ref="I54:K54"/>
    <mergeCell ref="I55:K55"/>
    <mergeCell ref="I56:K56"/>
    <mergeCell ref="I57:K57"/>
    <mergeCell ref="A13:J14"/>
    <mergeCell ref="A72:B72"/>
    <mergeCell ref="D72:E72"/>
    <mergeCell ref="G72:H72"/>
    <mergeCell ref="F54:H54"/>
    <mergeCell ref="F55:H55"/>
    <mergeCell ref="F56:H56"/>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28" zoomScale="90" zoomScaleNormal="90" workbookViewId="0">
      <selection activeCell="K52" sqref="K52"/>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70" t="s">
        <v>182</v>
      </c>
      <c r="B1" s="170"/>
      <c r="C1" s="170"/>
      <c r="D1" s="73"/>
      <c r="E1" s="73"/>
      <c r="F1" s="73"/>
      <c r="G1" s="73"/>
      <c r="H1" s="73"/>
      <c r="I1" s="73"/>
      <c r="J1" s="73"/>
      <c r="K1" s="73"/>
    </row>
    <row r="2" spans="1:11" ht="15" thickTop="1"/>
    <row r="3" spans="1:11" ht="18">
      <c r="A3" s="71" t="s">
        <v>204</v>
      </c>
    </row>
    <row r="4" spans="1:11" ht="15" customHeight="1">
      <c r="A4" s="171" t="s">
        <v>818</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
      <c r="A7" s="71" t="s">
        <v>24</v>
      </c>
    </row>
    <row r="8" spans="1:11" ht="15.6">
      <c r="A8" s="76" t="s">
        <v>820</v>
      </c>
    </row>
    <row r="10" spans="1:11" ht="15.6">
      <c r="A10" s="70" t="s">
        <v>757</v>
      </c>
    </row>
    <row r="11" spans="1:11">
      <c r="A11" t="s">
        <v>763</v>
      </c>
    </row>
    <row r="12" spans="1:11">
      <c r="A12" s="109"/>
    </row>
    <row r="13" spans="1:11" ht="15.6">
      <c r="A13" s="70" t="s">
        <v>759</v>
      </c>
    </row>
    <row r="14" spans="1:11">
      <c r="A14" s="150" t="s">
        <v>803</v>
      </c>
      <c r="B14" s="150"/>
      <c r="C14" s="150"/>
      <c r="D14" s="150"/>
      <c r="E14" s="150"/>
      <c r="F14" s="150"/>
      <c r="G14" s="150"/>
      <c r="H14" s="150"/>
      <c r="I14" s="150"/>
      <c r="J14" s="150"/>
    </row>
    <row r="15" spans="1:11">
      <c r="A15" s="150"/>
      <c r="B15" s="150"/>
      <c r="C15" s="150"/>
      <c r="D15" s="150"/>
      <c r="E15" s="150"/>
      <c r="F15" s="150"/>
      <c r="G15" s="150"/>
      <c r="H15" s="150"/>
      <c r="I15" s="150"/>
      <c r="J15" s="150"/>
    </row>
    <row r="16" spans="1:11">
      <c r="A16" s="81"/>
      <c r="B16" s="81"/>
      <c r="C16" s="81"/>
      <c r="D16" s="81"/>
      <c r="E16" s="81"/>
      <c r="F16" s="81"/>
      <c r="G16" s="81"/>
      <c r="H16" s="81"/>
      <c r="I16" s="81"/>
      <c r="J16" s="81"/>
    </row>
    <row r="17" spans="1:16" ht="15.6">
      <c r="A17" s="70" t="s">
        <v>819</v>
      </c>
    </row>
    <row r="18" spans="1:16">
      <c r="A18" t="s">
        <v>821</v>
      </c>
    </row>
    <row r="19" spans="1:16">
      <c r="A19" s="109"/>
    </row>
    <row r="20" spans="1:16" ht="15.6">
      <c r="A20" s="70" t="s">
        <v>761</v>
      </c>
    </row>
    <row r="21" spans="1:16">
      <c r="A21" t="s">
        <v>822</v>
      </c>
    </row>
    <row r="22" spans="1:16">
      <c r="A22" s="109"/>
    </row>
    <row r="23" spans="1:16" ht="15.6">
      <c r="A23" s="70" t="s">
        <v>48</v>
      </c>
    </row>
    <row r="24" spans="1:16">
      <c r="A24" s="101" t="s">
        <v>837</v>
      </c>
    </row>
    <row r="25" spans="1:16">
      <c r="A25" s="75" t="s">
        <v>823</v>
      </c>
      <c r="B25" s="75" t="s">
        <v>765</v>
      </c>
      <c r="C25" s="75" t="s">
        <v>766</v>
      </c>
      <c r="D25" s="75" t="s">
        <v>767</v>
      </c>
      <c r="E25" s="75" t="s">
        <v>94</v>
      </c>
      <c r="F25" s="75" t="s">
        <v>824</v>
      </c>
    </row>
    <row r="26" spans="1:16">
      <c r="A26" s="74" t="s">
        <v>154</v>
      </c>
      <c r="B26" s="128">
        <v>500</v>
      </c>
      <c r="C26" s="128">
        <v>450</v>
      </c>
      <c r="D26" s="128">
        <v>550</v>
      </c>
      <c r="E26" s="128">
        <v>200</v>
      </c>
      <c r="F26" s="128">
        <v>1000</v>
      </c>
    </row>
    <row r="27" spans="1:16">
      <c r="A27" s="1"/>
      <c r="B27" s="1"/>
      <c r="C27" s="1"/>
      <c r="D27" s="1"/>
    </row>
    <row r="28" spans="1:16" ht="15" customHeight="1">
      <c r="A28" s="75" t="s">
        <v>825</v>
      </c>
      <c r="B28" s="75" t="s">
        <v>87</v>
      </c>
      <c r="C28" s="75" t="s">
        <v>154</v>
      </c>
      <c r="D28" s="151" t="s">
        <v>218</v>
      </c>
      <c r="E28" s="151"/>
      <c r="F28" s="151"/>
      <c r="H28" s="187" t="s">
        <v>838</v>
      </c>
      <c r="I28" s="187"/>
      <c r="J28" s="187"/>
      <c r="K28" s="187"/>
      <c r="L28" s="187"/>
      <c r="M28" s="187"/>
      <c r="N28" s="187"/>
      <c r="O28" s="187"/>
      <c r="P28" s="187"/>
    </row>
    <row r="29" spans="1:16">
      <c r="A29" s="74" t="s">
        <v>805</v>
      </c>
      <c r="B29" s="74" t="s">
        <v>765</v>
      </c>
      <c r="C29" s="66">
        <f>HLOOKUP(B29,$B$25:$F$26,2,FALSE)</f>
        <v>500</v>
      </c>
      <c r="D29" s="189" t="s">
        <v>829</v>
      </c>
      <c r="E29" s="189"/>
      <c r="F29" s="189"/>
      <c r="H29" s="187"/>
      <c r="I29" s="187"/>
      <c r="J29" s="187"/>
      <c r="K29" s="187"/>
      <c r="L29" s="187"/>
      <c r="M29" s="187"/>
      <c r="N29" s="187"/>
      <c r="O29" s="187"/>
      <c r="P29" s="187"/>
    </row>
    <row r="30" spans="1:16">
      <c r="A30" s="74" t="s">
        <v>805</v>
      </c>
      <c r="B30" s="74" t="s">
        <v>766</v>
      </c>
      <c r="C30" s="66">
        <f t="shared" ref="C30:C36" si="0">HLOOKUP(B30,$B$25:$F$26,2,FALSE)</f>
        <v>450</v>
      </c>
      <c r="D30" s="189" t="s">
        <v>830</v>
      </c>
      <c r="E30" s="189"/>
      <c r="F30" s="189"/>
      <c r="H30" s="187"/>
      <c r="I30" s="187"/>
      <c r="J30" s="187"/>
      <c r="K30" s="187"/>
      <c r="L30" s="187"/>
      <c r="M30" s="187"/>
      <c r="N30" s="187"/>
      <c r="O30" s="187"/>
      <c r="P30" s="187"/>
    </row>
    <row r="31" spans="1:16">
      <c r="A31" s="74" t="s">
        <v>826</v>
      </c>
      <c r="B31" s="74" t="s">
        <v>767</v>
      </c>
      <c r="C31" s="66">
        <f t="shared" si="0"/>
        <v>550</v>
      </c>
      <c r="D31" s="189" t="s">
        <v>831</v>
      </c>
      <c r="E31" s="189"/>
      <c r="F31" s="189"/>
      <c r="H31" s="187"/>
      <c r="I31" s="187"/>
      <c r="J31" s="187"/>
      <c r="K31" s="187"/>
      <c r="L31" s="187"/>
      <c r="M31" s="187"/>
      <c r="N31" s="187"/>
      <c r="O31" s="187"/>
      <c r="P31" s="187"/>
    </row>
    <row r="32" spans="1:16">
      <c r="A32" s="74" t="s">
        <v>827</v>
      </c>
      <c r="B32" s="74" t="s">
        <v>767</v>
      </c>
      <c r="C32" s="66">
        <f t="shared" si="0"/>
        <v>550</v>
      </c>
      <c r="D32" s="189" t="s">
        <v>832</v>
      </c>
      <c r="E32" s="189"/>
      <c r="F32" s="189"/>
      <c r="H32" s="187"/>
      <c r="I32" s="187"/>
      <c r="J32" s="187"/>
      <c r="K32" s="187"/>
      <c r="L32" s="187"/>
      <c r="M32" s="187"/>
      <c r="N32" s="187"/>
      <c r="O32" s="187"/>
      <c r="P32" s="187"/>
    </row>
    <row r="33" spans="1:16">
      <c r="A33" s="74" t="s">
        <v>809</v>
      </c>
      <c r="B33" s="74" t="s">
        <v>824</v>
      </c>
      <c r="C33" s="66">
        <f t="shared" si="0"/>
        <v>1000</v>
      </c>
      <c r="D33" s="189" t="s">
        <v>833</v>
      </c>
      <c r="E33" s="189"/>
      <c r="F33" s="189"/>
      <c r="H33" s="187"/>
      <c r="I33" s="187"/>
      <c r="J33" s="187"/>
      <c r="K33" s="187"/>
      <c r="L33" s="187"/>
      <c r="M33" s="187"/>
      <c r="N33" s="187"/>
      <c r="O33" s="187"/>
      <c r="P33" s="187"/>
    </row>
    <row r="34" spans="1:16">
      <c r="A34" s="74" t="s">
        <v>809</v>
      </c>
      <c r="B34" s="74" t="s">
        <v>824</v>
      </c>
      <c r="C34" s="66">
        <f t="shared" si="0"/>
        <v>1000</v>
      </c>
      <c r="D34" s="189" t="s">
        <v>834</v>
      </c>
      <c r="E34" s="189"/>
      <c r="F34" s="189"/>
      <c r="H34" s="187"/>
      <c r="I34" s="187"/>
      <c r="J34" s="187"/>
      <c r="K34" s="187"/>
      <c r="L34" s="187"/>
      <c r="M34" s="187"/>
      <c r="N34" s="187"/>
      <c r="O34" s="187"/>
      <c r="P34" s="187"/>
    </row>
    <row r="35" spans="1:16">
      <c r="A35" s="74" t="s">
        <v>806</v>
      </c>
      <c r="B35" s="74" t="s">
        <v>766</v>
      </c>
      <c r="C35" s="66">
        <f t="shared" si="0"/>
        <v>450</v>
      </c>
      <c r="D35" s="189" t="s">
        <v>835</v>
      </c>
      <c r="E35" s="189"/>
      <c r="F35" s="189"/>
      <c r="H35" s="187"/>
      <c r="I35" s="187"/>
      <c r="J35" s="187"/>
      <c r="K35" s="187"/>
      <c r="L35" s="187"/>
      <c r="M35" s="187"/>
      <c r="N35" s="187"/>
      <c r="O35" s="187"/>
      <c r="P35" s="187"/>
    </row>
    <row r="36" spans="1:16">
      <c r="A36" s="74" t="s">
        <v>828</v>
      </c>
      <c r="B36" s="74" t="s">
        <v>765</v>
      </c>
      <c r="C36" s="66">
        <f t="shared" si="0"/>
        <v>500</v>
      </c>
      <c r="D36" s="189" t="s">
        <v>836</v>
      </c>
      <c r="E36" s="189"/>
      <c r="F36" s="189"/>
      <c r="H36" s="187"/>
      <c r="I36" s="187"/>
      <c r="J36" s="187"/>
      <c r="K36" s="187"/>
      <c r="L36" s="187"/>
      <c r="M36" s="187"/>
      <c r="N36" s="187"/>
      <c r="O36" s="187"/>
      <c r="P36" s="187"/>
    </row>
    <row r="39" spans="1:16" ht="15.6">
      <c r="A39" s="70" t="s">
        <v>236</v>
      </c>
    </row>
    <row r="40" spans="1:16">
      <c r="A40" s="150" t="s">
        <v>839</v>
      </c>
      <c r="B40" s="150"/>
      <c r="C40" s="150"/>
      <c r="D40" s="150"/>
      <c r="E40" s="150"/>
      <c r="F40" s="150"/>
      <c r="G40" s="150"/>
      <c r="H40" s="150"/>
      <c r="I40" s="150"/>
      <c r="J40" s="150"/>
    </row>
    <row r="41" spans="1:16">
      <c r="A41" s="150"/>
      <c r="B41" s="150"/>
      <c r="C41" s="150"/>
      <c r="D41" s="150"/>
      <c r="E41" s="150"/>
      <c r="F41" s="150"/>
      <c r="G41" s="150"/>
      <c r="H41" s="150"/>
      <c r="I41" s="150"/>
      <c r="J41" s="150"/>
    </row>
    <row r="42" spans="1:16" ht="15" customHeight="1">
      <c r="A42" s="75" t="s">
        <v>90</v>
      </c>
      <c r="B42" s="74" t="s">
        <v>765</v>
      </c>
      <c r="C42" s="74" t="s">
        <v>766</v>
      </c>
      <c r="D42" s="74" t="s">
        <v>767</v>
      </c>
    </row>
    <row r="43" spans="1:16">
      <c r="A43" s="75" t="s">
        <v>95</v>
      </c>
      <c r="B43" s="128">
        <v>2500</v>
      </c>
      <c r="C43" s="128">
        <v>2000</v>
      </c>
      <c r="D43" s="128">
        <v>3000</v>
      </c>
    </row>
    <row r="44" spans="1:16">
      <c r="A44" s="75" t="s">
        <v>96</v>
      </c>
      <c r="B44" s="128">
        <v>5000</v>
      </c>
      <c r="C44" s="128">
        <v>4999</v>
      </c>
      <c r="D44" s="128">
        <v>5200</v>
      </c>
    </row>
    <row r="45" spans="1:16">
      <c r="A45" s="75" t="s">
        <v>97</v>
      </c>
      <c r="B45" s="128">
        <v>1250</v>
      </c>
      <c r="C45" s="128">
        <v>1302</v>
      </c>
      <c r="D45" s="128">
        <v>1100</v>
      </c>
    </row>
    <row r="46" spans="1:16">
      <c r="A46" s="75" t="s">
        <v>92</v>
      </c>
      <c r="B46" s="128">
        <v>250</v>
      </c>
      <c r="C46" s="128">
        <v>300</v>
      </c>
      <c r="D46" s="128">
        <v>200</v>
      </c>
    </row>
    <row r="47" spans="1:16">
      <c r="A47" s="75" t="s">
        <v>98</v>
      </c>
      <c r="B47" s="128">
        <v>300</v>
      </c>
      <c r="C47" s="128">
        <v>290</v>
      </c>
      <c r="D47" s="128">
        <v>310</v>
      </c>
    </row>
    <row r="50" spans="1:9">
      <c r="A50" s="75" t="s">
        <v>87</v>
      </c>
      <c r="B50" s="74" t="s">
        <v>765</v>
      </c>
      <c r="C50" s="74" t="s">
        <v>766</v>
      </c>
      <c r="D50" s="74" t="s">
        <v>767</v>
      </c>
      <c r="E50" s="74" t="s">
        <v>767</v>
      </c>
      <c r="F50" s="74" t="s">
        <v>765</v>
      </c>
      <c r="G50" s="74" t="s">
        <v>765</v>
      </c>
      <c r="H50" s="74" t="s">
        <v>766</v>
      </c>
      <c r="I50" s="74" t="s">
        <v>766</v>
      </c>
    </row>
    <row r="51" spans="1:9">
      <c r="A51" s="75" t="s">
        <v>88</v>
      </c>
      <c r="B51" s="74" t="s">
        <v>98</v>
      </c>
      <c r="C51" s="74" t="s">
        <v>95</v>
      </c>
      <c r="D51" s="74" t="s">
        <v>817</v>
      </c>
      <c r="E51" s="74" t="s">
        <v>97</v>
      </c>
      <c r="F51" s="74" t="s">
        <v>92</v>
      </c>
      <c r="G51" s="74" t="s">
        <v>96</v>
      </c>
      <c r="H51" s="74" t="s">
        <v>95</v>
      </c>
      <c r="I51" s="74" t="s">
        <v>96</v>
      </c>
    </row>
    <row r="52" spans="1:9">
      <c r="A52" s="75" t="s">
        <v>816</v>
      </c>
      <c r="B52" s="66">
        <f>HLOOKUP(B50,$A$42:$D$47,6,A55)</f>
        <v>300</v>
      </c>
      <c r="C52" s="213">
        <f>HLOOKUP(C50,$A$42:$D$47,6,B55)</f>
        <v>290</v>
      </c>
      <c r="D52" s="213">
        <f t="shared" ref="D52:I52" si="1">HLOOKUP(D50,$A$42:$D$47,6,C55)</f>
        <v>310</v>
      </c>
      <c r="E52" s="213">
        <f t="shared" si="1"/>
        <v>310</v>
      </c>
      <c r="F52" s="213">
        <f t="shared" si="1"/>
        <v>300</v>
      </c>
      <c r="G52" s="213">
        <f t="shared" si="1"/>
        <v>300</v>
      </c>
      <c r="H52" s="213">
        <f t="shared" si="1"/>
        <v>290</v>
      </c>
      <c r="I52" s="213">
        <f t="shared" si="1"/>
        <v>290</v>
      </c>
    </row>
    <row r="53" spans="1:9">
      <c r="B53" s="134" t="s">
        <v>840</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16" zoomScale="90" zoomScaleNormal="90" workbookViewId="0">
      <selection activeCell="B42" sqref="B42:D42"/>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181</v>
      </c>
      <c r="B1" s="170"/>
      <c r="C1" s="98"/>
      <c r="D1" s="73"/>
      <c r="E1" s="73"/>
      <c r="F1" s="73"/>
      <c r="G1" s="73"/>
      <c r="H1" s="73"/>
      <c r="I1" s="73"/>
      <c r="J1" s="73"/>
      <c r="K1" s="73"/>
    </row>
    <row r="2" spans="1:11" ht="15" thickTop="1"/>
    <row r="3" spans="1:11" ht="18">
      <c r="A3" s="71" t="s">
        <v>204</v>
      </c>
    </row>
    <row r="4" spans="1:11" ht="15" customHeight="1">
      <c r="A4" s="171" t="s">
        <v>7</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841</v>
      </c>
    </row>
    <row r="9" spans="1:11" ht="15.6">
      <c r="A9" s="70" t="s">
        <v>680</v>
      </c>
    </row>
    <row r="10" spans="1:11">
      <c r="A10" t="s">
        <v>842</v>
      </c>
    </row>
    <row r="11" spans="1:11">
      <c r="A11" s="109"/>
    </row>
    <row r="12" spans="1:11" ht="15.6">
      <c r="A12" s="70" t="s">
        <v>843</v>
      </c>
    </row>
    <row r="13" spans="1:11">
      <c r="A13" t="s">
        <v>17</v>
      </c>
    </row>
    <row r="14" spans="1:11">
      <c r="A14" t="s">
        <v>18</v>
      </c>
    </row>
    <row r="15" spans="1:11">
      <c r="A15" t="s">
        <v>19</v>
      </c>
    </row>
    <row r="16" spans="1:11">
      <c r="A16" t="s">
        <v>20</v>
      </c>
    </row>
    <row r="17" spans="1:4">
      <c r="A17" t="s">
        <v>21</v>
      </c>
    </row>
    <row r="18" spans="1:4">
      <c r="A18" t="s">
        <v>22</v>
      </c>
    </row>
    <row r="19" spans="1:4">
      <c r="A19" t="s">
        <v>23</v>
      </c>
    </row>
    <row r="21" spans="1:4" ht="15.6">
      <c r="A21" s="70" t="s">
        <v>48</v>
      </c>
    </row>
    <row r="22" spans="1:4">
      <c r="A22" s="101" t="s">
        <v>844</v>
      </c>
    </row>
    <row r="23" spans="1:4">
      <c r="A23" s="75" t="s">
        <v>686</v>
      </c>
      <c r="B23" s="75" t="s">
        <v>9</v>
      </c>
      <c r="C23" s="75" t="s">
        <v>10</v>
      </c>
    </row>
    <row r="24" spans="1:4">
      <c r="A24" s="74" t="s">
        <v>221</v>
      </c>
      <c r="B24" s="74">
        <v>10</v>
      </c>
      <c r="C24" s="74">
        <v>30</v>
      </c>
    </row>
    <row r="25" spans="1:4">
      <c r="A25" s="74" t="s">
        <v>222</v>
      </c>
      <c r="B25" s="74">
        <v>40</v>
      </c>
      <c r="C25" s="74">
        <v>50</v>
      </c>
    </row>
    <row r="26" spans="1:4">
      <c r="A26" s="74" t="s">
        <v>223</v>
      </c>
      <c r="B26" s="74">
        <v>70</v>
      </c>
      <c r="C26" s="74">
        <v>80</v>
      </c>
    </row>
    <row r="28" spans="1:4">
      <c r="A28" s="75" t="s">
        <v>845</v>
      </c>
      <c r="B28" s="74" t="str">
        <f t="array" ref="B28:D28">TRANSPOSE(A24:A26)</f>
        <v>E001</v>
      </c>
      <c r="C28" s="74" t="str">
        <v>E002</v>
      </c>
      <c r="D28" s="74" t="str">
        <v>E003</v>
      </c>
    </row>
    <row r="29" spans="1:4">
      <c r="A29" s="75" t="s">
        <v>9</v>
      </c>
      <c r="B29" s="74">
        <f t="array" ref="B29:D29">TRANSPOSE(B24:B26)</f>
        <v>10</v>
      </c>
      <c r="C29" s="74">
        <v>40</v>
      </c>
      <c r="D29" s="74">
        <v>70</v>
      </c>
    </row>
    <row r="30" spans="1:4">
      <c r="A30" s="79" t="s">
        <v>846</v>
      </c>
      <c r="B30" s="155" t="s">
        <v>848</v>
      </c>
      <c r="C30" s="155"/>
      <c r="D30" s="155"/>
    </row>
    <row r="31" spans="1:4">
      <c r="A31" s="79" t="s">
        <v>847</v>
      </c>
      <c r="B31" s="155" t="s">
        <v>849</v>
      </c>
      <c r="C31" s="155"/>
      <c r="D31" s="155"/>
    </row>
    <row r="34" spans="1:4" ht="15.6">
      <c r="A34" s="70" t="s">
        <v>236</v>
      </c>
    </row>
    <row r="35" spans="1:4">
      <c r="A35" s="101" t="s">
        <v>850</v>
      </c>
    </row>
    <row r="36" spans="1:4">
      <c r="A36" s="75" t="s">
        <v>686</v>
      </c>
      <c r="B36" s="75" t="s">
        <v>9</v>
      </c>
      <c r="C36" s="75" t="s">
        <v>10</v>
      </c>
    </row>
    <row r="37" spans="1:4">
      <c r="A37" s="74" t="s">
        <v>221</v>
      </c>
      <c r="B37" s="74">
        <v>10</v>
      </c>
      <c r="C37" s="74">
        <v>30</v>
      </c>
    </row>
    <row r="38" spans="1:4">
      <c r="A38" s="74" t="s">
        <v>222</v>
      </c>
      <c r="B38" s="74">
        <v>40</v>
      </c>
      <c r="C38" s="74">
        <v>50</v>
      </c>
    </row>
    <row r="39" spans="1:4">
      <c r="A39" s="74" t="s">
        <v>223</v>
      </c>
      <c r="B39" s="74">
        <v>70</v>
      </c>
      <c r="C39" s="74">
        <v>80</v>
      </c>
    </row>
    <row r="41" spans="1:4">
      <c r="A41" s="75" t="s">
        <v>845</v>
      </c>
      <c r="B41" s="74" t="str">
        <f t="array" ref="B41:D41">TRANSPOSE(A37:A39)</f>
        <v>E001</v>
      </c>
      <c r="C41" s="74" t="str">
        <v>E002</v>
      </c>
      <c r="D41" s="74" t="str">
        <v>E003</v>
      </c>
    </row>
    <row r="42" spans="1:4">
      <c r="A42" s="75" t="s">
        <v>9</v>
      </c>
      <c r="B42" s="74">
        <f t="array" ref="B42:D42">TRANSPOSE(B37:B39)</f>
        <v>10</v>
      </c>
      <c r="C42" s="74">
        <v>40</v>
      </c>
      <c r="D42" s="74">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72" zoomScale="90" zoomScaleNormal="90" workbookViewId="0">
      <selection activeCell="F84" sqref="F84"/>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1.109375" customWidth="1"/>
  </cols>
  <sheetData>
    <row r="1" spans="1:11" ht="31.8" thickBot="1">
      <c r="A1" s="170" t="s">
        <v>183</v>
      </c>
      <c r="B1" s="170"/>
      <c r="C1" s="98"/>
      <c r="D1" s="73"/>
      <c r="E1" s="73"/>
      <c r="F1" s="73"/>
      <c r="G1" s="73"/>
      <c r="H1" s="73"/>
      <c r="I1" s="73"/>
      <c r="J1" s="73"/>
      <c r="K1" s="73"/>
    </row>
    <row r="2" spans="1:11" ht="15" thickTop="1"/>
    <row r="3" spans="1:11" ht="18">
      <c r="A3" s="71" t="s">
        <v>204</v>
      </c>
    </row>
    <row r="4" spans="1:11" ht="15" customHeight="1">
      <c r="A4" s="171" t="s">
        <v>851</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852</v>
      </c>
    </row>
    <row r="9" spans="1:11" ht="15.6">
      <c r="A9" s="70" t="s">
        <v>757</v>
      </c>
    </row>
    <row r="10" spans="1:11">
      <c r="A10" t="s">
        <v>853</v>
      </c>
    </row>
    <row r="11" spans="1:11">
      <c r="A11" s="109"/>
    </row>
    <row r="12" spans="1:11" ht="15.6">
      <c r="A12" s="70" t="s">
        <v>854</v>
      </c>
    </row>
    <row r="13" spans="1:11">
      <c r="A13" s="150" t="s">
        <v>855</v>
      </c>
      <c r="B13" s="150"/>
      <c r="C13" s="150"/>
      <c r="D13" s="150"/>
      <c r="E13" s="150"/>
      <c r="F13" s="150"/>
      <c r="G13" s="150"/>
      <c r="H13" s="150"/>
      <c r="I13" s="150"/>
      <c r="J13" s="150"/>
    </row>
    <row r="14" spans="1:11">
      <c r="A14" s="150"/>
      <c r="B14" s="150"/>
      <c r="C14" s="150"/>
      <c r="D14" s="150"/>
      <c r="E14" s="150"/>
      <c r="F14" s="150"/>
      <c r="G14" s="150"/>
      <c r="H14" s="150"/>
      <c r="I14" s="150"/>
      <c r="J14" s="150"/>
    </row>
    <row r="15" spans="1:11" ht="15.6">
      <c r="A15" s="70" t="s">
        <v>856</v>
      </c>
    </row>
    <row r="16" spans="1:11">
      <c r="A16" s="150" t="s">
        <v>857</v>
      </c>
      <c r="B16" s="150"/>
      <c r="C16" s="150"/>
      <c r="D16" s="150"/>
      <c r="E16" s="150"/>
      <c r="F16" s="150"/>
      <c r="G16" s="150"/>
      <c r="H16" s="150"/>
      <c r="I16" s="150"/>
      <c r="J16" s="150"/>
    </row>
    <row r="17" spans="1:16">
      <c r="A17" s="150"/>
      <c r="B17" s="150"/>
      <c r="C17" s="150"/>
      <c r="D17" s="150"/>
      <c r="E17" s="150"/>
      <c r="F17" s="150"/>
      <c r="G17" s="150"/>
      <c r="H17" s="150"/>
      <c r="I17" s="150"/>
      <c r="J17" s="150"/>
    </row>
    <row r="18" spans="1:16">
      <c r="A18" s="109"/>
    </row>
    <row r="19" spans="1:16" ht="15.6">
      <c r="A19" s="70" t="s">
        <v>44</v>
      </c>
    </row>
    <row r="20" spans="1:16">
      <c r="A20" s="101" t="s">
        <v>768</v>
      </c>
    </row>
    <row r="21" spans="1:16">
      <c r="A21" s="75" t="s">
        <v>90</v>
      </c>
      <c r="B21" s="75" t="s">
        <v>765</v>
      </c>
      <c r="C21" s="75" t="s">
        <v>766</v>
      </c>
      <c r="D21" s="75" t="s">
        <v>767</v>
      </c>
    </row>
    <row r="22" spans="1:16">
      <c r="A22" s="74" t="s">
        <v>95</v>
      </c>
      <c r="B22" s="128">
        <v>2500</v>
      </c>
      <c r="C22" s="128">
        <v>2000</v>
      </c>
      <c r="D22" s="128">
        <v>3000</v>
      </c>
    </row>
    <row r="23" spans="1:16">
      <c r="A23" s="74" t="s">
        <v>96</v>
      </c>
      <c r="B23" s="128">
        <v>5000</v>
      </c>
      <c r="C23" s="128">
        <v>4999</v>
      </c>
      <c r="D23" s="128">
        <v>5200</v>
      </c>
    </row>
    <row r="24" spans="1:16">
      <c r="A24" s="74" t="s">
        <v>97</v>
      </c>
      <c r="B24" s="128">
        <v>1250</v>
      </c>
      <c r="C24" s="128">
        <v>1302</v>
      </c>
      <c r="D24" s="128">
        <v>1100</v>
      </c>
    </row>
    <row r="25" spans="1:16">
      <c r="A25" s="74" t="s">
        <v>92</v>
      </c>
      <c r="B25" s="128">
        <v>250</v>
      </c>
      <c r="C25" s="128">
        <v>300</v>
      </c>
      <c r="D25" s="128">
        <v>200</v>
      </c>
    </row>
    <row r="26" spans="1:16">
      <c r="A26" s="74" t="s">
        <v>98</v>
      </c>
      <c r="B26" s="128">
        <v>300</v>
      </c>
      <c r="C26" s="128">
        <v>290</v>
      </c>
      <c r="D26" s="128">
        <v>310</v>
      </c>
    </row>
    <row r="27" spans="1:16">
      <c r="A27" s="1"/>
      <c r="B27" s="1"/>
      <c r="C27" s="1"/>
      <c r="D27" s="1"/>
    </row>
    <row r="28" spans="1:16" ht="15" customHeight="1">
      <c r="A28" s="75" t="s">
        <v>87</v>
      </c>
      <c r="B28" s="75" t="s">
        <v>88</v>
      </c>
      <c r="C28" s="75" t="s">
        <v>89</v>
      </c>
      <c r="D28" s="151" t="s">
        <v>218</v>
      </c>
      <c r="E28" s="151"/>
      <c r="F28" s="151"/>
      <c r="H28" s="187" t="s">
        <v>777</v>
      </c>
      <c r="I28" s="187"/>
      <c r="J28" s="187"/>
      <c r="K28" s="187"/>
      <c r="L28" s="187"/>
      <c r="M28" s="187"/>
      <c r="N28" s="187"/>
      <c r="O28" s="187"/>
      <c r="P28" s="187"/>
    </row>
    <row r="29" spans="1:16">
      <c r="A29" s="74" t="s">
        <v>765</v>
      </c>
      <c r="B29" s="74" t="s">
        <v>92</v>
      </c>
      <c r="C29" s="66">
        <f>VLOOKUP(B29,$A$22:$B$26,2,FALSE)</f>
        <v>250</v>
      </c>
      <c r="D29" s="189" t="s">
        <v>769</v>
      </c>
      <c r="E29" s="189"/>
      <c r="F29" s="189"/>
      <c r="H29" s="187"/>
      <c r="I29" s="187"/>
      <c r="J29" s="187"/>
      <c r="K29" s="187"/>
      <c r="L29" s="187"/>
      <c r="M29" s="187"/>
      <c r="N29" s="187"/>
      <c r="O29" s="187"/>
      <c r="P29" s="187"/>
    </row>
    <row r="30" spans="1:16">
      <c r="A30" s="74" t="s">
        <v>766</v>
      </c>
      <c r="B30" s="74" t="s">
        <v>95</v>
      </c>
      <c r="C30" s="66">
        <f>VLOOKUP(B30,$A$22:$C$26,3,FALSE)</f>
        <v>2000</v>
      </c>
      <c r="D30" s="189" t="s">
        <v>770</v>
      </c>
      <c r="E30" s="189"/>
      <c r="F30" s="189"/>
      <c r="H30" s="187"/>
      <c r="I30" s="187"/>
      <c r="J30" s="187"/>
      <c r="K30" s="187"/>
      <c r="L30" s="187"/>
      <c r="M30" s="187"/>
      <c r="N30" s="187"/>
      <c r="O30" s="187"/>
      <c r="P30" s="187"/>
    </row>
    <row r="31" spans="1:16">
      <c r="A31" s="74" t="s">
        <v>767</v>
      </c>
      <c r="B31" s="74" t="s">
        <v>96</v>
      </c>
      <c r="C31" s="66">
        <f>VLOOKUP(B31,$A$22:$D$26,4,FALSE)</f>
        <v>5200</v>
      </c>
      <c r="D31" s="189" t="s">
        <v>771</v>
      </c>
      <c r="E31" s="189"/>
      <c r="F31" s="189"/>
      <c r="H31" s="187"/>
      <c r="I31" s="187"/>
      <c r="J31" s="187"/>
      <c r="K31" s="187"/>
      <c r="L31" s="187"/>
      <c r="M31" s="187"/>
      <c r="N31" s="187"/>
      <c r="O31" s="187"/>
      <c r="P31" s="187"/>
    </row>
    <row r="32" spans="1:16">
      <c r="A32" s="74" t="s">
        <v>767</v>
      </c>
      <c r="B32" s="74" t="s">
        <v>97</v>
      </c>
      <c r="C32" s="66">
        <f>VLOOKUP(B32,$A$22:$D$26,4,FALSE)</f>
        <v>1100</v>
      </c>
      <c r="D32" s="189" t="s">
        <v>772</v>
      </c>
      <c r="E32" s="189"/>
      <c r="F32" s="189"/>
      <c r="H32" s="187"/>
      <c r="I32" s="187"/>
      <c r="J32" s="187"/>
      <c r="K32" s="187"/>
      <c r="L32" s="187"/>
      <c r="M32" s="187"/>
      <c r="N32" s="187"/>
      <c r="O32" s="187"/>
      <c r="P32" s="187"/>
    </row>
    <row r="33" spans="1:16">
      <c r="A33" s="74" t="s">
        <v>765</v>
      </c>
      <c r="B33" s="74" t="s">
        <v>92</v>
      </c>
      <c r="C33" s="66">
        <f>VLOOKUP(B33,$A$22:$B$26,2,FALSE)</f>
        <v>250</v>
      </c>
      <c r="D33" s="189" t="s">
        <v>773</v>
      </c>
      <c r="E33" s="189"/>
      <c r="F33" s="189"/>
      <c r="H33" s="187"/>
      <c r="I33" s="187"/>
      <c r="J33" s="187"/>
      <c r="K33" s="187"/>
      <c r="L33" s="187"/>
      <c r="M33" s="187"/>
      <c r="N33" s="187"/>
      <c r="O33" s="187"/>
      <c r="P33" s="187"/>
    </row>
    <row r="34" spans="1:16">
      <c r="A34" s="74" t="s">
        <v>765</v>
      </c>
      <c r="B34" s="74" t="s">
        <v>98</v>
      </c>
      <c r="C34" s="66">
        <f>VLOOKUP(B34,$A$22:$B$26,2,FALSE)</f>
        <v>300</v>
      </c>
      <c r="D34" s="189" t="s">
        <v>774</v>
      </c>
      <c r="E34" s="189"/>
      <c r="F34" s="189"/>
      <c r="H34" s="187"/>
      <c r="I34" s="187"/>
      <c r="J34" s="187"/>
      <c r="K34" s="187"/>
      <c r="L34" s="187"/>
      <c r="M34" s="187"/>
      <c r="N34" s="187"/>
      <c r="O34" s="187"/>
      <c r="P34" s="187"/>
    </row>
    <row r="35" spans="1:16">
      <c r="A35" s="74" t="s">
        <v>766</v>
      </c>
      <c r="B35" s="74" t="s">
        <v>95</v>
      </c>
      <c r="C35" s="66">
        <f>VLOOKUP(B35,$A$22:$C$26,3,FALSE)</f>
        <v>2000</v>
      </c>
      <c r="D35" s="189" t="s">
        <v>775</v>
      </c>
      <c r="E35" s="189"/>
      <c r="F35" s="189"/>
      <c r="H35" s="187"/>
      <c r="I35" s="187"/>
      <c r="J35" s="187"/>
      <c r="K35" s="187"/>
      <c r="L35" s="187"/>
      <c r="M35" s="187"/>
      <c r="N35" s="187"/>
      <c r="O35" s="187"/>
      <c r="P35" s="187"/>
    </row>
    <row r="36" spans="1:16">
      <c r="A36" s="74" t="s">
        <v>766</v>
      </c>
      <c r="B36" s="74" t="s">
        <v>96</v>
      </c>
      <c r="C36" s="66">
        <f>VLOOKUP(B36,$A$22:$C$26,3,FALSE)</f>
        <v>4999</v>
      </c>
      <c r="D36" s="189" t="s">
        <v>776</v>
      </c>
      <c r="E36" s="189"/>
      <c r="F36" s="189"/>
      <c r="H36" s="187"/>
      <c r="I36" s="187"/>
      <c r="J36" s="187"/>
      <c r="K36" s="187"/>
      <c r="L36" s="187"/>
      <c r="M36" s="187"/>
      <c r="N36" s="187"/>
      <c r="O36" s="187"/>
      <c r="P36" s="187"/>
    </row>
    <row r="39" spans="1:16" ht="15.6">
      <c r="A39" s="70" t="s">
        <v>78</v>
      </c>
    </row>
    <row r="40" spans="1:16">
      <c r="A40" s="150" t="s">
        <v>778</v>
      </c>
      <c r="B40" s="150"/>
      <c r="C40" s="150"/>
      <c r="D40" s="150"/>
      <c r="E40" s="150"/>
      <c r="F40" s="150"/>
      <c r="G40" s="150"/>
      <c r="H40" s="150"/>
      <c r="I40" s="150"/>
      <c r="J40" s="150"/>
    </row>
    <row r="41" spans="1:16">
      <c r="A41" s="150"/>
      <c r="B41" s="150"/>
      <c r="C41" s="150"/>
      <c r="D41" s="150"/>
      <c r="E41" s="150"/>
      <c r="F41" s="150"/>
      <c r="G41" s="150"/>
      <c r="H41" s="150"/>
      <c r="I41" s="150"/>
      <c r="J41" s="150"/>
    </row>
    <row r="42" spans="1:16">
      <c r="A42" s="188" t="s">
        <v>137</v>
      </c>
      <c r="B42" s="188"/>
      <c r="C42" s="81"/>
      <c r="D42" s="188" t="s">
        <v>138</v>
      </c>
      <c r="E42" s="188"/>
      <c r="F42" s="81"/>
      <c r="G42" s="81"/>
      <c r="H42" s="81"/>
      <c r="I42" s="81"/>
      <c r="J42" s="81"/>
    </row>
    <row r="43" spans="1:16">
      <c r="A43" s="75" t="s">
        <v>779</v>
      </c>
      <c r="B43" s="75" t="s">
        <v>89</v>
      </c>
      <c r="D43" s="75" t="s">
        <v>779</v>
      </c>
      <c r="E43" s="75" t="s">
        <v>784</v>
      </c>
    </row>
    <row r="44" spans="1:16">
      <c r="A44" s="74" t="s">
        <v>780</v>
      </c>
      <c r="B44" s="129">
        <v>5.0999999999999996</v>
      </c>
      <c r="D44" s="74" t="s">
        <v>780</v>
      </c>
      <c r="E44" s="129">
        <v>7.5</v>
      </c>
    </row>
    <row r="45" spans="1:16">
      <c r="A45" s="74" t="s">
        <v>781</v>
      </c>
      <c r="B45" s="129">
        <v>1.1000000000000001</v>
      </c>
      <c r="D45" s="74" t="s">
        <v>781</v>
      </c>
      <c r="E45" s="129">
        <v>1.1499999999999999</v>
      </c>
    </row>
    <row r="46" spans="1:16">
      <c r="A46" s="74" t="s">
        <v>782</v>
      </c>
      <c r="B46" s="129">
        <v>1.5</v>
      </c>
      <c r="D46" s="74" t="s">
        <v>782</v>
      </c>
      <c r="E46" s="129">
        <v>2.5</v>
      </c>
    </row>
    <row r="47" spans="1:16">
      <c r="A47" s="74" t="s">
        <v>783</v>
      </c>
      <c r="B47" s="129">
        <v>2.5</v>
      </c>
      <c r="D47" s="74" t="s">
        <v>783</v>
      </c>
      <c r="E47" s="129">
        <v>3.75</v>
      </c>
    </row>
    <row r="49" spans="1:11">
      <c r="A49" s="151" t="s">
        <v>785</v>
      </c>
      <c r="B49" s="151"/>
      <c r="C49" s="151"/>
      <c r="D49" s="151"/>
      <c r="E49" s="151"/>
      <c r="F49" s="151"/>
      <c r="G49" s="151"/>
      <c r="H49" s="151"/>
      <c r="I49" s="151"/>
      <c r="J49" s="151"/>
      <c r="K49" s="151"/>
    </row>
    <row r="50" spans="1:11">
      <c r="A50" s="75" t="s">
        <v>779</v>
      </c>
      <c r="B50" s="75" t="s">
        <v>130</v>
      </c>
      <c r="C50" s="75" t="s">
        <v>89</v>
      </c>
      <c r="D50" s="75" t="s">
        <v>784</v>
      </c>
      <c r="E50" s="75" t="s">
        <v>786</v>
      </c>
      <c r="F50" s="151" t="s">
        <v>791</v>
      </c>
      <c r="G50" s="151"/>
      <c r="H50" s="151"/>
      <c r="I50" s="151" t="s">
        <v>796</v>
      </c>
      <c r="J50" s="151"/>
      <c r="K50" s="151"/>
    </row>
    <row r="51" spans="1:11">
      <c r="A51" s="74" t="s">
        <v>780</v>
      </c>
      <c r="B51" s="106">
        <v>500</v>
      </c>
      <c r="C51" s="131">
        <f>VLOOKUP(A51,$A$44:$B$47,2,FALSE)</f>
        <v>5.0999999999999996</v>
      </c>
      <c r="D51" s="130">
        <f>VLOOKUP(A51,$D$44:$E$47,2,FALSE)</f>
        <v>7.5</v>
      </c>
      <c r="E51" s="129">
        <f>(D51-C51)*B51</f>
        <v>1200.0000000000002</v>
      </c>
      <c r="F51" s="190" t="s">
        <v>787</v>
      </c>
      <c r="G51" s="190"/>
      <c r="H51" s="190"/>
      <c r="I51" s="189" t="s">
        <v>792</v>
      </c>
      <c r="J51" s="189"/>
      <c r="K51" s="189"/>
    </row>
    <row r="52" spans="1:11">
      <c r="A52" s="74" t="s">
        <v>781</v>
      </c>
      <c r="B52" s="106">
        <v>100</v>
      </c>
      <c r="C52" s="131">
        <f t="shared" ref="C52:C55" si="0">VLOOKUP(A52,$A$44:$B$47,2,FALSE)</f>
        <v>1.1000000000000001</v>
      </c>
      <c r="D52" s="130">
        <f t="shared" ref="D52:D55" si="1">VLOOKUP(A52,$D$44:$E$47,2,FALSE)</f>
        <v>1.1499999999999999</v>
      </c>
      <c r="E52" s="129">
        <f t="shared" ref="E52:E54" si="2">(D52-C52)*B52</f>
        <v>4.9999999999999822</v>
      </c>
      <c r="F52" s="190" t="s">
        <v>788</v>
      </c>
      <c r="G52" s="190"/>
      <c r="H52" s="190"/>
      <c r="I52" s="189" t="s">
        <v>793</v>
      </c>
      <c r="J52" s="189"/>
      <c r="K52" s="189"/>
    </row>
    <row r="53" spans="1:11">
      <c r="A53" s="74" t="s">
        <v>782</v>
      </c>
      <c r="B53" s="106">
        <v>250</v>
      </c>
      <c r="C53" s="131">
        <f t="shared" si="0"/>
        <v>1.5</v>
      </c>
      <c r="D53" s="130">
        <f t="shared" si="1"/>
        <v>2.5</v>
      </c>
      <c r="E53" s="129">
        <f t="shared" si="2"/>
        <v>250</v>
      </c>
      <c r="F53" s="190" t="s">
        <v>789</v>
      </c>
      <c r="G53" s="190"/>
      <c r="H53" s="190"/>
      <c r="I53" s="189" t="s">
        <v>794</v>
      </c>
      <c r="J53" s="189"/>
      <c r="K53" s="189"/>
    </row>
    <row r="54" spans="1:11">
      <c r="A54" s="74" t="s">
        <v>783</v>
      </c>
      <c r="B54" s="106">
        <v>100</v>
      </c>
      <c r="C54" s="131">
        <f t="shared" si="0"/>
        <v>2.5</v>
      </c>
      <c r="D54" s="130">
        <f t="shared" si="1"/>
        <v>3.75</v>
      </c>
      <c r="E54" s="129">
        <f t="shared" si="2"/>
        <v>125</v>
      </c>
      <c r="F54" s="190" t="s">
        <v>790</v>
      </c>
      <c r="G54" s="190"/>
      <c r="H54" s="190"/>
      <c r="I54" s="189" t="s">
        <v>795</v>
      </c>
      <c r="J54" s="189"/>
      <c r="K54" s="189"/>
    </row>
    <row r="55" spans="1:11">
      <c r="A55" s="74" t="s">
        <v>798</v>
      </c>
      <c r="B55" s="106">
        <v>990</v>
      </c>
      <c r="C55" s="131" t="e">
        <f t="shared" si="0"/>
        <v>#N/A</v>
      </c>
      <c r="D55" s="130" t="e">
        <f t="shared" si="1"/>
        <v>#N/A</v>
      </c>
      <c r="E55" s="129"/>
      <c r="F55" s="190" t="s">
        <v>799</v>
      </c>
      <c r="G55" s="190"/>
      <c r="H55" s="190"/>
      <c r="I55" s="189" t="s">
        <v>800</v>
      </c>
      <c r="J55" s="189"/>
      <c r="K55" s="189"/>
    </row>
    <row r="56" spans="1:11">
      <c r="A56" s="133" t="s">
        <v>814</v>
      </c>
    </row>
    <row r="60" spans="1:11" ht="15" customHeight="1">
      <c r="B60" s="157" t="s">
        <v>801</v>
      </c>
      <c r="C60" s="157"/>
      <c r="D60" s="157"/>
    </row>
    <row r="61" spans="1:11">
      <c r="B61" s="157"/>
      <c r="C61" s="157"/>
      <c r="D61" s="157"/>
    </row>
    <row r="62" spans="1:11">
      <c r="B62" s="157"/>
      <c r="C62" s="157"/>
      <c r="D62" s="157"/>
    </row>
    <row r="63" spans="1:11">
      <c r="B63" s="157"/>
      <c r="C63" s="157"/>
      <c r="D63" s="157"/>
    </row>
    <row r="66" spans="1:10" ht="15.6">
      <c r="A66" s="70" t="s">
        <v>455</v>
      </c>
    </row>
    <row r="67" spans="1:10">
      <c r="A67" s="150" t="s">
        <v>802</v>
      </c>
      <c r="B67" s="150"/>
      <c r="C67" s="150"/>
      <c r="D67" s="150"/>
      <c r="E67" s="150"/>
      <c r="F67" s="150"/>
      <c r="G67" s="150"/>
      <c r="H67" s="150"/>
      <c r="I67" s="150"/>
      <c r="J67" s="150"/>
    </row>
    <row r="68" spans="1:10">
      <c r="A68" s="150"/>
      <c r="B68" s="150"/>
      <c r="C68" s="150"/>
      <c r="D68" s="150"/>
      <c r="E68" s="150"/>
      <c r="F68" s="150"/>
      <c r="G68" s="150"/>
      <c r="H68" s="150"/>
      <c r="I68" s="150"/>
      <c r="J68" s="150"/>
    </row>
    <row r="69" spans="1:10">
      <c r="A69" s="188" t="s">
        <v>137</v>
      </c>
      <c r="B69" s="188"/>
      <c r="C69" s="81"/>
      <c r="D69" s="188" t="s">
        <v>138</v>
      </c>
      <c r="E69" s="188"/>
      <c r="F69" s="81"/>
      <c r="G69" s="188" t="s">
        <v>785</v>
      </c>
      <c r="H69" s="188"/>
      <c r="I69" s="81"/>
      <c r="J69" s="81"/>
    </row>
    <row r="70" spans="1:10">
      <c r="A70" s="75" t="s">
        <v>804</v>
      </c>
      <c r="B70" s="75" t="s">
        <v>225</v>
      </c>
      <c r="D70" s="75" t="s">
        <v>804</v>
      </c>
      <c r="E70" s="75" t="s">
        <v>228</v>
      </c>
      <c r="G70" s="75" t="s">
        <v>804</v>
      </c>
      <c r="H70" s="75" t="s">
        <v>811</v>
      </c>
    </row>
    <row r="71" spans="1:10">
      <c r="A71" s="74" t="s">
        <v>805</v>
      </c>
      <c r="B71" s="132" t="s">
        <v>226</v>
      </c>
      <c r="D71" s="74" t="s">
        <v>805</v>
      </c>
      <c r="E71" s="132">
        <v>85000</v>
      </c>
      <c r="G71" s="74" t="s">
        <v>805</v>
      </c>
      <c r="H71" s="132" t="s">
        <v>692</v>
      </c>
    </row>
    <row r="72" spans="1:10">
      <c r="A72" s="74" t="s">
        <v>806</v>
      </c>
      <c r="B72" s="132" t="s">
        <v>810</v>
      </c>
      <c r="D72" s="74" t="s">
        <v>806</v>
      </c>
      <c r="E72" s="132">
        <v>60000</v>
      </c>
      <c r="G72" s="74" t="s">
        <v>806</v>
      </c>
      <c r="H72" s="132" t="s">
        <v>692</v>
      </c>
    </row>
    <row r="73" spans="1:10">
      <c r="A73" s="74" t="s">
        <v>807</v>
      </c>
      <c r="B73" s="132" t="s">
        <v>226</v>
      </c>
      <c r="D73" s="74" t="s">
        <v>807</v>
      </c>
      <c r="E73" s="132">
        <v>65000</v>
      </c>
      <c r="G73" s="74" t="s">
        <v>807</v>
      </c>
      <c r="H73" s="132" t="s">
        <v>693</v>
      </c>
    </row>
    <row r="74" spans="1:10">
      <c r="A74" s="74" t="s">
        <v>808</v>
      </c>
      <c r="B74" s="132" t="s">
        <v>227</v>
      </c>
      <c r="D74" s="74" t="s">
        <v>808</v>
      </c>
      <c r="E74" s="132">
        <v>50000</v>
      </c>
      <c r="G74" s="74" t="s">
        <v>808</v>
      </c>
      <c r="H74" s="132" t="s">
        <v>691</v>
      </c>
    </row>
    <row r="75" spans="1:10">
      <c r="A75" s="74" t="s">
        <v>809</v>
      </c>
      <c r="B75" s="132" t="s">
        <v>227</v>
      </c>
      <c r="D75" s="74" t="s">
        <v>809</v>
      </c>
      <c r="E75" s="132">
        <v>45000</v>
      </c>
      <c r="G75" s="74" t="s">
        <v>809</v>
      </c>
      <c r="H75" s="132" t="s">
        <v>693</v>
      </c>
    </row>
    <row r="78" spans="1:10">
      <c r="A78" s="151" t="s">
        <v>812</v>
      </c>
      <c r="B78" s="151"/>
      <c r="C78" s="151"/>
      <c r="D78" s="151"/>
    </row>
    <row r="79" spans="1:10">
      <c r="A79" s="75" t="s">
        <v>804</v>
      </c>
      <c r="B79" s="75" t="s">
        <v>225</v>
      </c>
      <c r="C79" s="75" t="s">
        <v>228</v>
      </c>
      <c r="D79" s="75" t="s">
        <v>811</v>
      </c>
    </row>
    <row r="80" spans="1:10">
      <c r="A80" s="74" t="s">
        <v>808</v>
      </c>
      <c r="B80" s="79" t="str">
        <f>VLOOKUP(A80, $A$71:$B$75, 2, FALSE)</f>
        <v>Analyst</v>
      </c>
      <c r="C80" s="132">
        <f>VLOOKUP(A80, $D$71:$E$75, 2, FALSE)</f>
        <v>50000</v>
      </c>
      <c r="D80" s="79" t="str">
        <f>VLOOKUP(A80,$G$71:$H$75, 2, FALSE)</f>
        <v>HR</v>
      </c>
    </row>
    <row r="81" spans="1:9">
      <c r="A81" s="74" t="s">
        <v>809</v>
      </c>
      <c r="B81" s="79" t="str">
        <f t="shared" ref="B81:B85" si="3">VLOOKUP(A81, $A$71:$B$75, 2, FALSE)</f>
        <v>Analyst</v>
      </c>
      <c r="C81" s="132">
        <f t="shared" ref="C81:C85" si="4">VLOOKUP(A81, $D$71:$E$75, 2, FALSE)</f>
        <v>45000</v>
      </c>
      <c r="D81" s="79" t="str">
        <f t="shared" ref="D81:D85" si="5">VLOOKUP(A81,$G$71:$H$75, 2, FALSE)</f>
        <v>IT</v>
      </c>
    </row>
    <row r="82" spans="1:9">
      <c r="A82" s="74" t="s">
        <v>807</v>
      </c>
      <c r="B82" s="79" t="str">
        <f t="shared" si="3"/>
        <v>AVP</v>
      </c>
      <c r="C82" s="132">
        <f t="shared" si="4"/>
        <v>65000</v>
      </c>
      <c r="D82" s="79" t="str">
        <f t="shared" si="5"/>
        <v>IT</v>
      </c>
    </row>
    <row r="83" spans="1:9">
      <c r="A83" s="74" t="s">
        <v>805</v>
      </c>
      <c r="B83" s="79" t="str">
        <f t="shared" si="3"/>
        <v>AVP</v>
      </c>
      <c r="C83" s="132">
        <f t="shared" si="4"/>
        <v>85000</v>
      </c>
      <c r="D83" s="79" t="str">
        <f t="shared" si="5"/>
        <v>Analytics</v>
      </c>
    </row>
    <row r="84" spans="1:9">
      <c r="A84" s="74" t="s">
        <v>813</v>
      </c>
      <c r="B84" s="79" t="e">
        <f t="shared" si="3"/>
        <v>#N/A</v>
      </c>
      <c r="C84" s="132" t="e">
        <f t="shared" si="4"/>
        <v>#N/A</v>
      </c>
      <c r="D84" s="79" t="e">
        <f t="shared" si="5"/>
        <v>#N/A</v>
      </c>
    </row>
    <row r="85" spans="1:9">
      <c r="A85" s="74" t="s">
        <v>806</v>
      </c>
      <c r="B85" s="79" t="str">
        <f t="shared" si="3"/>
        <v>Analayst</v>
      </c>
      <c r="C85" s="132">
        <f t="shared" si="4"/>
        <v>60000</v>
      </c>
      <c r="D85" s="79" t="str">
        <f t="shared" si="5"/>
        <v>Analytics</v>
      </c>
    </row>
    <row r="88" spans="1:9" ht="15.6">
      <c r="A88" s="70" t="s">
        <v>456</v>
      </c>
    </row>
    <row r="89" spans="1:9">
      <c r="A89" s="101" t="s">
        <v>815</v>
      </c>
    </row>
    <row r="90" spans="1:9" ht="15" customHeight="1">
      <c r="A90" s="75" t="s">
        <v>90</v>
      </c>
      <c r="B90" s="75" t="s">
        <v>95</v>
      </c>
      <c r="C90" s="75" t="s">
        <v>96</v>
      </c>
      <c r="D90" s="75" t="s">
        <v>97</v>
      </c>
      <c r="E90" s="75" t="s">
        <v>92</v>
      </c>
      <c r="F90" s="75" t="s">
        <v>98</v>
      </c>
    </row>
    <row r="91" spans="1:9">
      <c r="A91" s="74" t="s">
        <v>765</v>
      </c>
      <c r="B91" s="128">
        <v>2500</v>
      </c>
      <c r="C91" s="128">
        <v>5000</v>
      </c>
      <c r="D91" s="128">
        <v>1250</v>
      </c>
      <c r="E91" s="128">
        <v>250</v>
      </c>
      <c r="F91" s="128">
        <v>300</v>
      </c>
    </row>
    <row r="92" spans="1:9">
      <c r="A92" s="74" t="s">
        <v>766</v>
      </c>
      <c r="B92" s="128">
        <v>2000</v>
      </c>
      <c r="C92" s="128">
        <v>4999</v>
      </c>
      <c r="D92" s="128">
        <v>1302</v>
      </c>
      <c r="E92" s="128">
        <v>300</v>
      </c>
      <c r="F92" s="128">
        <v>290</v>
      </c>
    </row>
    <row r="93" spans="1:9">
      <c r="A93" s="74" t="s">
        <v>767</v>
      </c>
      <c r="B93" s="128">
        <v>3000</v>
      </c>
      <c r="C93" s="128">
        <v>5200</v>
      </c>
      <c r="D93" s="128">
        <v>1100</v>
      </c>
      <c r="E93" s="128">
        <v>200</v>
      </c>
      <c r="F93" s="128">
        <v>310</v>
      </c>
    </row>
    <row r="95" spans="1:9">
      <c r="A95" s="75" t="s">
        <v>87</v>
      </c>
      <c r="B95" s="74" t="s">
        <v>765</v>
      </c>
      <c r="C95" s="74" t="s">
        <v>766</v>
      </c>
      <c r="D95" s="74" t="s">
        <v>767</v>
      </c>
      <c r="E95" s="74" t="s">
        <v>767</v>
      </c>
      <c r="F95" s="74" t="s">
        <v>765</v>
      </c>
      <c r="G95" s="74" t="s">
        <v>765</v>
      </c>
      <c r="H95" s="74" t="s">
        <v>766</v>
      </c>
      <c r="I95" s="74" t="s">
        <v>766</v>
      </c>
    </row>
    <row r="96" spans="1:9">
      <c r="A96" s="75" t="s">
        <v>88</v>
      </c>
      <c r="B96" s="74" t="s">
        <v>98</v>
      </c>
      <c r="C96" s="74" t="s">
        <v>95</v>
      </c>
      <c r="D96" s="74" t="s">
        <v>817</v>
      </c>
      <c r="E96" s="74" t="s">
        <v>97</v>
      </c>
      <c r="F96" s="74" t="s">
        <v>92</v>
      </c>
      <c r="G96" s="74" t="s">
        <v>96</v>
      </c>
      <c r="H96" s="74" t="s">
        <v>95</v>
      </c>
      <c r="I96" s="74" t="s">
        <v>96</v>
      </c>
    </row>
    <row r="97" spans="1:9">
      <c r="A97" s="75" t="s">
        <v>816</v>
      </c>
      <c r="B97" s="128">
        <f>VLOOKUP(B95, $A$91:$F$93, MATCH(B96, $A$90:$F$90, 0), FALSE)</f>
        <v>300</v>
      </c>
      <c r="C97" s="128">
        <f t="shared" ref="C97:I97" si="6">VLOOKUP(C95, $A$91:$F$93, MATCH(C96, $A$90:$F$90, 0), FALSE)</f>
        <v>2000</v>
      </c>
      <c r="D97" s="128">
        <f t="shared" si="6"/>
        <v>3000</v>
      </c>
      <c r="E97" s="128">
        <f t="shared" si="6"/>
        <v>1100</v>
      </c>
      <c r="F97" s="128">
        <f t="shared" si="6"/>
        <v>250</v>
      </c>
      <c r="G97" s="128">
        <f t="shared" si="6"/>
        <v>5000</v>
      </c>
      <c r="H97" s="128">
        <f t="shared" si="6"/>
        <v>2000</v>
      </c>
      <c r="I97" s="128">
        <f t="shared" si="6"/>
        <v>4999</v>
      </c>
    </row>
  </sheetData>
  <mergeCells count="36">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 ref="A78:D78"/>
    <mergeCell ref="F53:H53"/>
    <mergeCell ref="I53:K53"/>
    <mergeCell ref="F54:H54"/>
    <mergeCell ref="I54:K54"/>
    <mergeCell ref="F55:H55"/>
    <mergeCell ref="I55:K55"/>
    <mergeCell ref="D36:F36"/>
    <mergeCell ref="A40:J41"/>
    <mergeCell ref="A42:B42"/>
    <mergeCell ref="D42:E42"/>
    <mergeCell ref="A4:I4"/>
    <mergeCell ref="A13:J14"/>
    <mergeCell ref="D28:F28"/>
    <mergeCell ref="H28:P36"/>
    <mergeCell ref="D29:F29"/>
    <mergeCell ref="D30:F30"/>
    <mergeCell ref="D31:F31"/>
    <mergeCell ref="D32:F32"/>
    <mergeCell ref="D33:F33"/>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74" zoomScale="90" zoomScaleNormal="90" workbookViewId="0">
      <selection activeCell="G78" sqref="G78"/>
    </sheetView>
  </sheetViews>
  <sheetFormatPr defaultRowHeight="14.4"/>
  <cols>
    <col min="1" max="1" width="12.88671875" customWidth="1"/>
    <col min="2" max="2" width="12.6640625" customWidth="1"/>
    <col min="3" max="3" width="10.109375" customWidth="1"/>
    <col min="4" max="4" width="17.109375" bestFit="1" customWidth="1"/>
    <col min="5" max="5" width="18.10937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184</v>
      </c>
      <c r="B1" s="170"/>
      <c r="C1" s="98"/>
      <c r="D1" s="73"/>
      <c r="E1" s="73"/>
      <c r="F1" s="73"/>
      <c r="G1" s="73"/>
      <c r="H1" s="73"/>
      <c r="I1" s="73"/>
      <c r="J1" s="73"/>
      <c r="K1" s="73"/>
    </row>
    <row r="2" spans="1:11" ht="15" thickTop="1"/>
    <row r="3" spans="1:11" ht="18">
      <c r="A3" s="71" t="s">
        <v>204</v>
      </c>
    </row>
    <row r="4" spans="1:11" ht="15" customHeight="1">
      <c r="A4" s="171" t="s">
        <v>631</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632</v>
      </c>
    </row>
    <row r="9" spans="1:11" ht="15.6">
      <c r="A9" s="70" t="s">
        <v>633</v>
      </c>
    </row>
    <row r="10" spans="1:11">
      <c r="A10" t="s">
        <v>634</v>
      </c>
    </row>
    <row r="11" spans="1:11">
      <c r="A11" s="109"/>
    </row>
    <row r="12" spans="1:11" ht="15.6">
      <c r="A12" s="70" t="s">
        <v>635</v>
      </c>
    </row>
    <row r="13" spans="1:11">
      <c r="A13" t="s">
        <v>636</v>
      </c>
    </row>
    <row r="14" spans="1:11">
      <c r="A14" s="109"/>
    </row>
    <row r="15" spans="1:11" ht="15.6">
      <c r="A15" s="70" t="s">
        <v>44</v>
      </c>
    </row>
    <row r="16" spans="1:11">
      <c r="A16" s="101" t="s">
        <v>637</v>
      </c>
    </row>
    <row r="17" spans="1:5">
      <c r="A17" s="75" t="s">
        <v>305</v>
      </c>
      <c r="B17" s="75" t="s">
        <v>306</v>
      </c>
      <c r="C17" s="75" t="s">
        <v>638</v>
      </c>
      <c r="D17" s="75" t="s">
        <v>49</v>
      </c>
      <c r="E17" s="75" t="s">
        <v>218</v>
      </c>
    </row>
    <row r="18" spans="1:5">
      <c r="A18" s="106">
        <v>5</v>
      </c>
      <c r="B18" s="106">
        <v>12</v>
      </c>
      <c r="C18" s="106">
        <v>17</v>
      </c>
      <c r="D18" s="106">
        <f>SUM(A18:C18)</f>
        <v>34</v>
      </c>
      <c r="E18" s="106" t="s">
        <v>639</v>
      </c>
    </row>
    <row r="19" spans="1:5">
      <c r="A19" s="106">
        <v>10</v>
      </c>
      <c r="B19" s="106">
        <v>18</v>
      </c>
      <c r="C19" s="106">
        <v>23</v>
      </c>
      <c r="D19" s="106">
        <f>SUM(A19,B19,C19,H18)</f>
        <v>51</v>
      </c>
      <c r="E19" s="106" t="s">
        <v>640</v>
      </c>
    </row>
    <row r="20" spans="1:5">
      <c r="A20" s="106">
        <v>20</v>
      </c>
      <c r="B20" s="106">
        <v>100</v>
      </c>
      <c r="C20" s="106">
        <v>999</v>
      </c>
      <c r="D20" s="106">
        <f>A20+B20+C20</f>
        <v>1119</v>
      </c>
      <c r="E20" s="106" t="s">
        <v>641</v>
      </c>
    </row>
    <row r="21" spans="1:5">
      <c r="A21" s="69"/>
      <c r="B21" s="69"/>
      <c r="C21" s="69"/>
    </row>
    <row r="22" spans="1:5" ht="15.6">
      <c r="A22" s="70" t="s">
        <v>78</v>
      </c>
      <c r="B22" s="69"/>
      <c r="C22" s="69"/>
    </row>
    <row r="23" spans="1:5">
      <c r="A23" s="101" t="s">
        <v>637</v>
      </c>
      <c r="B23" s="69"/>
      <c r="C23" s="69"/>
    </row>
    <row r="24" spans="1:5">
      <c r="A24" s="75" t="s">
        <v>642</v>
      </c>
      <c r="B24" s="74">
        <v>5</v>
      </c>
      <c r="C24" s="74">
        <v>9</v>
      </c>
      <c r="D24" s="74">
        <v>12</v>
      </c>
      <c r="E24" s="74">
        <v>21</v>
      </c>
    </row>
    <row r="25" spans="1:5">
      <c r="A25" s="75" t="s">
        <v>643</v>
      </c>
      <c r="B25" s="74">
        <v>1</v>
      </c>
      <c r="C25" s="74">
        <v>56</v>
      </c>
      <c r="D25" s="74">
        <v>345</v>
      </c>
      <c r="E25" s="74">
        <v>23</v>
      </c>
    </row>
    <row r="26" spans="1:5">
      <c r="A26" s="75" t="s">
        <v>644</v>
      </c>
      <c r="B26" s="74">
        <v>2</v>
      </c>
      <c r="C26" s="74">
        <v>6</v>
      </c>
      <c r="D26" s="74">
        <v>23</v>
      </c>
      <c r="E26" s="74">
        <v>34</v>
      </c>
    </row>
    <row r="27" spans="1:5">
      <c r="A27" s="75" t="s">
        <v>645</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218</v>
      </c>
      <c r="B29" s="103" t="s">
        <v>646</v>
      </c>
      <c r="C29" s="103" t="s">
        <v>647</v>
      </c>
      <c r="D29" s="103" t="s">
        <v>648</v>
      </c>
      <c r="E29" s="103" t="s">
        <v>649</v>
      </c>
    </row>
    <row r="30" spans="1:5">
      <c r="A30" s="69"/>
      <c r="B30" s="69"/>
      <c r="C30" s="69"/>
      <c r="D30" s="69"/>
      <c r="E30" s="69"/>
    </row>
    <row r="31" spans="1:5" ht="15.6">
      <c r="A31" s="70" t="s">
        <v>100</v>
      </c>
      <c r="B31" s="69"/>
      <c r="C31" s="69"/>
    </row>
    <row r="32" spans="1:5">
      <c r="A32" s="101" t="s">
        <v>650</v>
      </c>
      <c r="B32" s="69"/>
      <c r="C32" s="69"/>
    </row>
    <row r="33" spans="1:10">
      <c r="A33" s="151" t="s">
        <v>652</v>
      </c>
      <c r="B33" s="151"/>
      <c r="C33" s="151"/>
      <c r="D33" s="75" t="s">
        <v>1</v>
      </c>
      <c r="E33" s="151" t="s">
        <v>218</v>
      </c>
      <c r="F33" s="151"/>
    </row>
    <row r="34" spans="1:10">
      <c r="A34" s="114">
        <v>5</v>
      </c>
      <c r="B34" s="69"/>
      <c r="C34" s="114">
        <v>3</v>
      </c>
      <c r="D34" s="74">
        <f>SUM(A34,A36,C34,C36,B35:B36)</f>
        <v>16</v>
      </c>
      <c r="E34" s="102" t="s">
        <v>651</v>
      </c>
      <c r="F34" s="74"/>
    </row>
    <row r="35" spans="1:10">
      <c r="A35" s="69"/>
      <c r="B35" s="74">
        <v>1</v>
      </c>
      <c r="C35" s="69"/>
    </row>
    <row r="36" spans="1:10">
      <c r="A36" s="74">
        <v>1</v>
      </c>
      <c r="B36" s="74">
        <v>2</v>
      </c>
      <c r="C36" s="74">
        <v>4</v>
      </c>
    </row>
    <row r="37" spans="1:10">
      <c r="A37" s="69"/>
      <c r="B37" s="69"/>
      <c r="C37" s="69"/>
    </row>
    <row r="38" spans="1:10" ht="15.6">
      <c r="A38" s="70" t="s">
        <v>156</v>
      </c>
      <c r="B38" s="69"/>
      <c r="C38" s="69"/>
    </row>
    <row r="39" spans="1:10">
      <c r="A39" s="150" t="s">
        <v>653</v>
      </c>
      <c r="B39" s="150"/>
      <c r="C39" s="150"/>
      <c r="D39" s="150"/>
      <c r="E39" s="150"/>
      <c r="F39" s="150"/>
      <c r="G39" s="150"/>
      <c r="H39" s="150"/>
      <c r="I39" s="150"/>
      <c r="J39" s="150"/>
    </row>
    <row r="40" spans="1:10">
      <c r="A40" s="150"/>
      <c r="B40" s="150"/>
      <c r="C40" s="150"/>
      <c r="D40" s="150"/>
      <c r="E40" s="150"/>
      <c r="F40" s="150"/>
      <c r="G40" s="150"/>
      <c r="H40" s="150"/>
      <c r="I40" s="150"/>
      <c r="J40" s="150"/>
    </row>
    <row r="41" spans="1:10">
      <c r="A41" s="69"/>
      <c r="B41" s="69"/>
      <c r="C41" s="69"/>
    </row>
    <row r="42" spans="1:10" ht="15.6">
      <c r="A42" s="70" t="s">
        <v>455</v>
      </c>
    </row>
    <row r="43" spans="1:10">
      <c r="A43" t="s">
        <v>654</v>
      </c>
    </row>
    <row r="44" spans="1:10">
      <c r="A44" s="151" t="s">
        <v>652</v>
      </c>
      <c r="B44" s="151"/>
      <c r="C44" s="151"/>
      <c r="D44" s="75" t="s">
        <v>49</v>
      </c>
    </row>
    <row r="45" spans="1:10">
      <c r="A45" s="74">
        <v>1</v>
      </c>
      <c r="B45" s="69"/>
      <c r="C45" s="69"/>
      <c r="D45" s="79"/>
    </row>
    <row r="46" spans="1:10">
      <c r="A46" s="74">
        <v>100</v>
      </c>
      <c r="B46" s="69"/>
      <c r="C46" s="74">
        <v>500</v>
      </c>
    </row>
    <row r="47" spans="1:10">
      <c r="A47" s="69">
        <f ca="1">SUM(A45:C47)</f>
        <v>0</v>
      </c>
      <c r="B47" s="74">
        <v>200</v>
      </c>
      <c r="C47" s="69"/>
    </row>
    <row r="50" spans="1:10" ht="15.6">
      <c r="A50" s="70" t="s">
        <v>456</v>
      </c>
    </row>
    <row r="51" spans="1:10">
      <c r="A51" s="150" t="s">
        <v>663</v>
      </c>
      <c r="B51" s="150"/>
      <c r="C51" s="150"/>
      <c r="D51" s="150"/>
      <c r="E51" s="150"/>
      <c r="F51" s="150"/>
      <c r="G51" s="150"/>
      <c r="H51" s="150"/>
      <c r="I51" s="150"/>
      <c r="J51" s="150"/>
    </row>
    <row r="52" spans="1:10">
      <c r="A52" s="150"/>
      <c r="B52" s="150"/>
      <c r="C52" s="150"/>
      <c r="D52" s="150"/>
      <c r="E52" s="150"/>
      <c r="F52" s="150"/>
      <c r="G52" s="150"/>
      <c r="H52" s="150"/>
      <c r="I52" s="150"/>
      <c r="J52" s="150"/>
    </row>
    <row r="53" spans="1:10" ht="28.8">
      <c r="A53" s="78" t="s">
        <v>657</v>
      </c>
      <c r="B53" s="85" t="s">
        <v>306</v>
      </c>
      <c r="C53" s="85" t="s">
        <v>638</v>
      </c>
      <c r="D53" s="85" t="s">
        <v>655</v>
      </c>
      <c r="E53" s="85" t="s">
        <v>656</v>
      </c>
      <c r="F53" s="85" t="s">
        <v>49</v>
      </c>
    </row>
    <row r="54" spans="1:10">
      <c r="A54" s="85" t="s">
        <v>658</v>
      </c>
      <c r="B54" s="86">
        <v>5</v>
      </c>
      <c r="C54" s="86">
        <v>1</v>
      </c>
      <c r="D54" s="86">
        <v>2</v>
      </c>
      <c r="E54" s="86">
        <v>4</v>
      </c>
      <c r="F54" s="74">
        <f>IF(B54&gt;1,SUM(B54:E54),0)</f>
        <v>12</v>
      </c>
      <c r="G54" s="110" t="s">
        <v>664</v>
      </c>
    </row>
    <row r="55" spans="1:10">
      <c r="A55" s="85" t="s">
        <v>659</v>
      </c>
      <c r="B55" s="86">
        <v>9</v>
      </c>
      <c r="C55" s="86">
        <v>56</v>
      </c>
      <c r="D55" s="86">
        <v>6</v>
      </c>
      <c r="E55" s="86">
        <v>12</v>
      </c>
      <c r="F55" s="74">
        <f>IF(C55&gt;50, SUM(B55:E55), 0)</f>
        <v>83</v>
      </c>
    </row>
    <row r="56" spans="1:10">
      <c r="A56" s="85" t="s">
        <v>660</v>
      </c>
      <c r="B56" s="86">
        <v>12</v>
      </c>
      <c r="C56" s="86">
        <v>345</v>
      </c>
      <c r="D56" s="86">
        <v>23</v>
      </c>
      <c r="E56" s="86">
        <v>547</v>
      </c>
      <c r="F56" s="74">
        <f>IF(C56&gt;500, SUM(B56:E56), 0)</f>
        <v>0</v>
      </c>
    </row>
    <row r="57" spans="1:10">
      <c r="A57" s="85" t="s">
        <v>661</v>
      </c>
      <c r="B57" s="86">
        <v>84.3</v>
      </c>
      <c r="C57" s="86">
        <v>59.8</v>
      </c>
      <c r="D57" s="86">
        <v>80.900000000000006</v>
      </c>
      <c r="E57" s="86">
        <v>80.5</v>
      </c>
      <c r="F57" s="74">
        <f>IF(E57&gt;80, SUM(B57:E57), 0)</f>
        <v>305.5</v>
      </c>
    </row>
    <row r="58" spans="1:10">
      <c r="A58" s="85" t="s">
        <v>662</v>
      </c>
      <c r="B58" s="86">
        <v>9.8000000000000007</v>
      </c>
      <c r="C58" s="86">
        <v>0.2</v>
      </c>
      <c r="D58" s="86">
        <v>38</v>
      </c>
      <c r="E58" s="86">
        <v>80.900000000000006</v>
      </c>
      <c r="F58" s="74">
        <f>IF(D58&gt;35, SUM(B58:E58), 0)</f>
        <v>128.9</v>
      </c>
    </row>
    <row r="61" spans="1:10" ht="15.6">
      <c r="A61" s="70" t="s">
        <v>665</v>
      </c>
    </row>
    <row r="62" spans="1:10">
      <c r="A62" s="150" t="s">
        <v>666</v>
      </c>
      <c r="B62" s="150"/>
      <c r="C62" s="150"/>
      <c r="D62" s="150"/>
      <c r="E62" s="150"/>
      <c r="F62" s="150"/>
      <c r="G62" s="150"/>
      <c r="H62" s="150"/>
      <c r="I62" s="150"/>
      <c r="J62" s="150"/>
    </row>
    <row r="63" spans="1:10">
      <c r="A63" s="150"/>
      <c r="B63" s="150"/>
      <c r="C63" s="150"/>
      <c r="D63" s="150"/>
      <c r="E63" s="150"/>
      <c r="F63" s="150"/>
      <c r="G63" s="150"/>
      <c r="H63" s="150"/>
      <c r="I63" s="150"/>
      <c r="J63" s="150"/>
    </row>
    <row r="64" spans="1:10" ht="28.8">
      <c r="A64" s="78" t="s">
        <v>667</v>
      </c>
      <c r="B64" s="78" t="s">
        <v>668</v>
      </c>
      <c r="C64" s="85" t="s">
        <v>306</v>
      </c>
      <c r="D64" s="85" t="s">
        <v>638</v>
      </c>
      <c r="E64" s="85" t="s">
        <v>655</v>
      </c>
      <c r="F64" s="85" t="s">
        <v>656</v>
      </c>
      <c r="G64" s="85" t="s">
        <v>49</v>
      </c>
    </row>
    <row r="65" spans="1:10">
      <c r="A65" s="85" t="s">
        <v>658</v>
      </c>
      <c r="B65" s="85" t="s">
        <v>669</v>
      </c>
      <c r="C65" s="86">
        <v>5</v>
      </c>
      <c r="D65" s="86">
        <v>1</v>
      </c>
      <c r="E65" s="86">
        <v>2</v>
      </c>
      <c r="F65" s="86">
        <v>4</v>
      </c>
      <c r="G65" s="74">
        <f>IF(AND(C65&gt;1,E65&gt;=2),SUM(C65:F65),0)</f>
        <v>12</v>
      </c>
      <c r="H65" s="110" t="s">
        <v>673</v>
      </c>
    </row>
    <row r="66" spans="1:10">
      <c r="A66" s="85" t="s">
        <v>659</v>
      </c>
      <c r="B66" s="85" t="s">
        <v>670</v>
      </c>
      <c r="C66" s="86">
        <v>9</v>
      </c>
      <c r="D66" s="86">
        <v>56</v>
      </c>
      <c r="E66" s="86">
        <v>6</v>
      </c>
      <c r="F66" s="86">
        <v>12</v>
      </c>
      <c r="G66" s="74">
        <f>IF(AND(D66&gt;50, C66&gt;5), SUM(C66:F66), 0)</f>
        <v>83</v>
      </c>
    </row>
    <row r="67" spans="1:10">
      <c r="A67" s="85" t="s">
        <v>660</v>
      </c>
      <c r="B67" s="85" t="s">
        <v>671</v>
      </c>
      <c r="C67" s="86">
        <v>12</v>
      </c>
      <c r="D67" s="86">
        <v>345</v>
      </c>
      <c r="E67" s="86">
        <v>23</v>
      </c>
      <c r="F67" s="86">
        <v>547</v>
      </c>
      <c r="G67" s="74">
        <f>IF(AND(D67&gt;500, F67&gt;500), SUM(C67:F67), 0)</f>
        <v>0</v>
      </c>
    </row>
    <row r="68" spans="1:10">
      <c r="A68" s="85" t="s">
        <v>661</v>
      </c>
      <c r="B68" s="85" t="s">
        <v>672</v>
      </c>
      <c r="C68" s="86">
        <v>84.3</v>
      </c>
      <c r="D68" s="86">
        <v>59.8</v>
      </c>
      <c r="E68" s="86">
        <v>80.900000000000006</v>
      </c>
      <c r="F68" s="86">
        <v>80.5</v>
      </c>
      <c r="G68" s="74">
        <f>IF(AND(F68&gt;80, C68&gt;80), SUM(C68:F68), 0)</f>
        <v>305.5</v>
      </c>
    </row>
    <row r="69" spans="1:10">
      <c r="A69" s="85" t="s">
        <v>662</v>
      </c>
      <c r="B69" s="85" t="s">
        <v>674</v>
      </c>
      <c r="C69" s="86">
        <v>9.8000000000000007</v>
      </c>
      <c r="D69" s="86">
        <v>0.2</v>
      </c>
      <c r="E69" s="86">
        <v>38</v>
      </c>
      <c r="F69" s="86">
        <v>80.900000000000006</v>
      </c>
      <c r="G69" s="74">
        <f>IF(AND(E69&gt;35, C69&gt;=9.8), SUM(C69:F69), 0)</f>
        <v>128.9</v>
      </c>
    </row>
    <row r="72" spans="1:10" ht="15.6">
      <c r="A72" s="70" t="s">
        <v>675</v>
      </c>
    </row>
    <row r="73" spans="1:10">
      <c r="A73" s="150" t="s">
        <v>676</v>
      </c>
      <c r="B73" s="150"/>
      <c r="C73" s="150"/>
      <c r="D73" s="150"/>
      <c r="E73" s="150"/>
      <c r="F73" s="150"/>
      <c r="G73" s="150"/>
      <c r="H73" s="150"/>
      <c r="I73" s="150"/>
      <c r="J73" s="150"/>
    </row>
    <row r="74" spans="1:10">
      <c r="A74" s="150"/>
      <c r="B74" s="150"/>
      <c r="C74" s="150"/>
      <c r="D74" s="150"/>
      <c r="E74" s="150"/>
      <c r="F74" s="150"/>
      <c r="G74" s="150"/>
      <c r="H74" s="150"/>
      <c r="I74" s="150"/>
      <c r="J74" s="150"/>
    </row>
    <row r="75" spans="1:10" ht="28.8">
      <c r="A75" s="78" t="s">
        <v>667</v>
      </c>
      <c r="B75" s="78" t="s">
        <v>668</v>
      </c>
      <c r="C75" s="85" t="s">
        <v>306</v>
      </c>
      <c r="D75" s="85" t="s">
        <v>638</v>
      </c>
      <c r="E75" s="85" t="s">
        <v>655</v>
      </c>
      <c r="F75" s="85" t="s">
        <v>656</v>
      </c>
      <c r="G75" s="85" t="s">
        <v>49</v>
      </c>
    </row>
    <row r="76" spans="1:10">
      <c r="A76" s="85" t="s">
        <v>658</v>
      </c>
      <c r="B76" s="85" t="s">
        <v>669</v>
      </c>
      <c r="C76" s="86">
        <v>5</v>
      </c>
      <c r="D76" s="86">
        <v>1</v>
      </c>
      <c r="E76" s="86">
        <v>2</v>
      </c>
      <c r="F76" s="86">
        <v>4</v>
      </c>
      <c r="G76" s="74">
        <f>IF(OR(C76&gt;1,E76&gt;=2),SUM(C76:F76),0)</f>
        <v>12</v>
      </c>
      <c r="H76" s="110" t="s">
        <v>677</v>
      </c>
    </row>
    <row r="77" spans="1:10">
      <c r="A77" s="85" t="s">
        <v>659</v>
      </c>
      <c r="B77" s="85" t="s">
        <v>670</v>
      </c>
      <c r="C77" s="86">
        <v>9</v>
      </c>
      <c r="D77" s="86">
        <v>56</v>
      </c>
      <c r="E77" s="86">
        <v>6</v>
      </c>
      <c r="F77" s="86">
        <v>12</v>
      </c>
      <c r="G77" s="74">
        <f>IF(OR(D77&gt;50, C77&gt;5), SUM(C77:F77), 0)</f>
        <v>83</v>
      </c>
    </row>
    <row r="78" spans="1:10">
      <c r="A78" s="85" t="s">
        <v>660</v>
      </c>
      <c r="B78" s="85" t="s">
        <v>671</v>
      </c>
      <c r="C78" s="86">
        <v>12</v>
      </c>
      <c r="D78" s="86">
        <v>345</v>
      </c>
      <c r="E78" s="86">
        <v>23</v>
      </c>
      <c r="F78" s="86">
        <v>547</v>
      </c>
      <c r="G78" s="74">
        <f>IF(OR(D78&gt;500, F78&gt;500), SUM(C78:F78), 0)</f>
        <v>927</v>
      </c>
    </row>
    <row r="79" spans="1:10">
      <c r="A79" s="85" t="s">
        <v>661</v>
      </c>
      <c r="B79" s="85" t="s">
        <v>672</v>
      </c>
      <c r="C79" s="86">
        <v>84.3</v>
      </c>
      <c r="D79" s="86">
        <v>59.8</v>
      </c>
      <c r="E79" s="86">
        <v>80.900000000000006</v>
      </c>
      <c r="F79" s="86">
        <v>80.5</v>
      </c>
      <c r="G79" s="74">
        <f>IF(OR(F79&gt;80, C79&gt;80), SUM(C79:F79), 0)</f>
        <v>305.5</v>
      </c>
    </row>
    <row r="80" spans="1:10">
      <c r="A80" s="85" t="s">
        <v>662</v>
      </c>
      <c r="B80" s="85" t="s">
        <v>674</v>
      </c>
      <c r="C80" s="86">
        <v>9.8000000000000007</v>
      </c>
      <c r="D80" s="86">
        <v>0.2</v>
      </c>
      <c r="E80" s="86">
        <v>38</v>
      </c>
      <c r="F80" s="86">
        <v>80.900000000000006</v>
      </c>
      <c r="G80" s="74">
        <f>IF(OR(E80&gt;35, C80&gt;=9.8), SUM(C80:F80), 0)</f>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64" zoomScale="90" zoomScaleNormal="90" workbookViewId="0">
      <selection activeCell="D89" sqref="D89:F89"/>
    </sheetView>
  </sheetViews>
  <sheetFormatPr defaultRowHeight="14.4"/>
  <cols>
    <col min="1" max="1" width="12.88671875" customWidth="1"/>
    <col min="2" max="2" width="12.6640625" customWidth="1"/>
    <col min="3" max="3" width="11.5546875" customWidth="1"/>
    <col min="4" max="4" width="13.886718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185</v>
      </c>
      <c r="B1" s="170"/>
      <c r="C1" s="98"/>
      <c r="D1" s="73"/>
      <c r="E1" s="73"/>
      <c r="F1" s="73"/>
      <c r="G1" s="73"/>
      <c r="H1" s="73"/>
      <c r="I1" s="73"/>
      <c r="J1" s="73"/>
      <c r="K1" s="73"/>
    </row>
    <row r="2" spans="1:11" ht="15" thickTop="1"/>
    <row r="3" spans="1:11" ht="18">
      <c r="A3" s="71" t="s">
        <v>204</v>
      </c>
    </row>
    <row r="4" spans="1:11" ht="15" customHeight="1">
      <c r="A4" s="171" t="s">
        <v>678</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679</v>
      </c>
    </row>
    <row r="9" spans="1:11" ht="15.6">
      <c r="A9" s="70" t="s">
        <v>680</v>
      </c>
    </row>
    <row r="10" spans="1:11">
      <c r="A10" t="s">
        <v>681</v>
      </c>
    </row>
    <row r="11" spans="1:11">
      <c r="A11" s="109"/>
    </row>
    <row r="12" spans="1:11" ht="15.6">
      <c r="A12" s="70" t="s">
        <v>682</v>
      </c>
    </row>
    <row r="13" spans="1:11">
      <c r="A13" t="s">
        <v>683</v>
      </c>
    </row>
    <row r="14" spans="1:11">
      <c r="A14" s="109"/>
    </row>
    <row r="15" spans="1:11" ht="15.6">
      <c r="A15" s="70" t="s">
        <v>684</v>
      </c>
    </row>
    <row r="16" spans="1:11">
      <c r="A16" s="150" t="s">
        <v>685</v>
      </c>
      <c r="B16" s="150"/>
      <c r="C16" s="150"/>
      <c r="D16" s="150"/>
      <c r="E16" s="150"/>
      <c r="F16" s="150"/>
      <c r="G16" s="150"/>
      <c r="H16" s="150"/>
      <c r="I16" s="150"/>
      <c r="J16" s="150"/>
    </row>
    <row r="17" spans="1:10">
      <c r="A17" s="150"/>
      <c r="B17" s="150"/>
      <c r="C17" s="150"/>
      <c r="D17" s="150"/>
      <c r="E17" s="150"/>
      <c r="F17" s="150"/>
      <c r="G17" s="150"/>
      <c r="H17" s="150"/>
      <c r="I17" s="150"/>
      <c r="J17" s="150"/>
    </row>
    <row r="18" spans="1:10">
      <c r="A18" s="109"/>
    </row>
    <row r="19" spans="1:10" ht="15.6">
      <c r="A19" s="70" t="s">
        <v>44</v>
      </c>
    </row>
    <row r="20" spans="1:10">
      <c r="A20" s="101" t="s">
        <v>694</v>
      </c>
    </row>
    <row r="21" spans="1:10">
      <c r="A21" s="75" t="s">
        <v>686</v>
      </c>
      <c r="B21" s="75" t="s">
        <v>687</v>
      </c>
      <c r="C21" s="75" t="s">
        <v>225</v>
      </c>
      <c r="D21" s="75" t="s">
        <v>698</v>
      </c>
      <c r="E21" s="75" t="s">
        <v>228</v>
      </c>
    </row>
    <row r="22" spans="1:10">
      <c r="A22" s="106" t="s">
        <v>221</v>
      </c>
      <c r="B22" s="106" t="s">
        <v>691</v>
      </c>
      <c r="C22" s="106" t="s">
        <v>226</v>
      </c>
      <c r="D22" s="94">
        <v>42736</v>
      </c>
      <c r="E22" s="115">
        <v>40000</v>
      </c>
    </row>
    <row r="23" spans="1:10">
      <c r="A23" s="106" t="s">
        <v>222</v>
      </c>
      <c r="B23" s="106" t="s">
        <v>692</v>
      </c>
      <c r="C23" s="106" t="s">
        <v>226</v>
      </c>
      <c r="D23" s="94">
        <v>42705</v>
      </c>
      <c r="E23" s="115">
        <v>75000</v>
      </c>
    </row>
    <row r="24" spans="1:10">
      <c r="A24" s="106" t="s">
        <v>223</v>
      </c>
      <c r="B24" s="106" t="s">
        <v>153</v>
      </c>
      <c r="C24" s="106" t="s">
        <v>226</v>
      </c>
      <c r="D24" s="94">
        <v>42705</v>
      </c>
      <c r="E24" s="115">
        <v>30000</v>
      </c>
    </row>
    <row r="25" spans="1:10">
      <c r="A25" s="106" t="s">
        <v>224</v>
      </c>
      <c r="B25" s="74" t="s">
        <v>692</v>
      </c>
      <c r="C25" s="74" t="s">
        <v>226</v>
      </c>
      <c r="D25" s="94">
        <v>42675</v>
      </c>
      <c r="E25" s="115">
        <v>80000</v>
      </c>
    </row>
    <row r="26" spans="1:10">
      <c r="A26" s="106" t="s">
        <v>376</v>
      </c>
      <c r="B26" s="74" t="s">
        <v>691</v>
      </c>
      <c r="C26" s="74" t="s">
        <v>227</v>
      </c>
      <c r="D26" s="94">
        <v>42644</v>
      </c>
      <c r="E26" s="115">
        <v>35000</v>
      </c>
    </row>
    <row r="27" spans="1:10">
      <c r="A27" s="106" t="s">
        <v>377</v>
      </c>
      <c r="B27" s="74" t="s">
        <v>153</v>
      </c>
      <c r="C27" s="74" t="s">
        <v>227</v>
      </c>
      <c r="D27" s="94">
        <v>42675</v>
      </c>
      <c r="E27" s="115">
        <v>25000</v>
      </c>
    </row>
    <row r="28" spans="1:10">
      <c r="A28" s="106" t="s">
        <v>378</v>
      </c>
      <c r="B28" s="74" t="s">
        <v>692</v>
      </c>
      <c r="C28" s="74" t="s">
        <v>227</v>
      </c>
      <c r="D28" s="94">
        <v>42644</v>
      </c>
      <c r="E28" s="115">
        <v>60000</v>
      </c>
    </row>
    <row r="29" spans="1:10">
      <c r="A29" s="106" t="s">
        <v>688</v>
      </c>
      <c r="B29" s="74" t="s">
        <v>153</v>
      </c>
      <c r="C29" s="74" t="s">
        <v>227</v>
      </c>
      <c r="D29" s="94">
        <v>42675</v>
      </c>
      <c r="E29" s="115">
        <v>20000</v>
      </c>
    </row>
    <row r="30" spans="1:10">
      <c r="A30" s="106" t="s">
        <v>689</v>
      </c>
      <c r="B30" s="103" t="s">
        <v>693</v>
      </c>
      <c r="C30" s="74" t="s">
        <v>227</v>
      </c>
      <c r="D30" s="94">
        <v>42644</v>
      </c>
      <c r="E30" s="116">
        <v>40000</v>
      </c>
    </row>
    <row r="31" spans="1:10">
      <c r="A31" s="106" t="s">
        <v>690</v>
      </c>
      <c r="B31" s="103" t="s">
        <v>693</v>
      </c>
      <c r="C31" s="74" t="s">
        <v>227</v>
      </c>
      <c r="D31" s="94">
        <v>42644</v>
      </c>
      <c r="E31" s="116">
        <v>38000</v>
      </c>
    </row>
    <row r="32" spans="1:10" ht="15.6">
      <c r="A32" s="70"/>
      <c r="B32" s="69"/>
      <c r="C32" s="69"/>
    </row>
    <row r="33" spans="1:6" ht="15.6">
      <c r="A33" s="70"/>
      <c r="B33" s="69"/>
      <c r="C33" s="75" t="s">
        <v>1</v>
      </c>
      <c r="D33" s="173" t="s">
        <v>218</v>
      </c>
      <c r="E33" s="173"/>
      <c r="F33" s="173"/>
    </row>
    <row r="34" spans="1:6">
      <c r="A34" s="191" t="s">
        <v>695</v>
      </c>
      <c r="B34" s="191"/>
      <c r="C34" s="116">
        <f>SUMIF(B22:B31,"Analytics",E22:E31)</f>
        <v>215000</v>
      </c>
      <c r="D34" s="172" t="s">
        <v>696</v>
      </c>
      <c r="E34" s="172"/>
      <c r="F34" s="172"/>
    </row>
    <row r="35" spans="1:6">
      <c r="A35" s="191" t="s">
        <v>695</v>
      </c>
      <c r="B35" s="191"/>
      <c r="C35" s="116">
        <f>SUMIF(B22:B31,"IT",E22:E31)</f>
        <v>78000</v>
      </c>
      <c r="D35" s="172" t="s">
        <v>697</v>
      </c>
      <c r="E35" s="172"/>
      <c r="F35" s="172"/>
    </row>
    <row r="36" spans="1:6" ht="15.6">
      <c r="A36" s="70"/>
      <c r="B36" s="69"/>
      <c r="C36" s="69"/>
    </row>
    <row r="37" spans="1:6">
      <c r="A37" s="69"/>
      <c r="B37" s="69"/>
      <c r="C37" s="69"/>
    </row>
    <row r="38" spans="1:6" ht="15.6">
      <c r="A38" s="70" t="s">
        <v>78</v>
      </c>
    </row>
    <row r="39" spans="1:6">
      <c r="A39" s="101" t="s">
        <v>699</v>
      </c>
    </row>
    <row r="40" spans="1:6">
      <c r="A40" s="75" t="s">
        <v>686</v>
      </c>
      <c r="B40" s="75" t="s">
        <v>687</v>
      </c>
      <c r="C40" s="75" t="s">
        <v>225</v>
      </c>
      <c r="D40" s="75" t="s">
        <v>698</v>
      </c>
      <c r="E40" s="75" t="s">
        <v>228</v>
      </c>
    </row>
    <row r="41" spans="1:6">
      <c r="A41" s="106" t="s">
        <v>221</v>
      </c>
      <c r="B41" s="106" t="s">
        <v>691</v>
      </c>
      <c r="C41" s="106" t="s">
        <v>226</v>
      </c>
      <c r="D41" s="94">
        <v>42736</v>
      </c>
      <c r="E41" s="115">
        <v>40000</v>
      </c>
    </row>
    <row r="42" spans="1:6">
      <c r="A42" s="106" t="s">
        <v>222</v>
      </c>
      <c r="B42" s="106" t="s">
        <v>692</v>
      </c>
      <c r="C42" s="106" t="s">
        <v>226</v>
      </c>
      <c r="D42" s="94">
        <v>42705</v>
      </c>
      <c r="E42" s="115">
        <v>75000</v>
      </c>
    </row>
    <row r="43" spans="1:6">
      <c r="A43" s="106" t="s">
        <v>223</v>
      </c>
      <c r="B43" s="106" t="s">
        <v>153</v>
      </c>
      <c r="C43" s="106" t="s">
        <v>226</v>
      </c>
      <c r="D43" s="94">
        <v>42705</v>
      </c>
      <c r="E43" s="115">
        <v>30000</v>
      </c>
    </row>
    <row r="44" spans="1:6">
      <c r="A44" s="106" t="s">
        <v>224</v>
      </c>
      <c r="B44" s="74" t="s">
        <v>692</v>
      </c>
      <c r="C44" s="74" t="s">
        <v>226</v>
      </c>
      <c r="D44" s="94">
        <v>42675</v>
      </c>
      <c r="E44" s="115">
        <v>80000</v>
      </c>
    </row>
    <row r="45" spans="1:6">
      <c r="A45" s="106" t="s">
        <v>376</v>
      </c>
      <c r="B45" s="74" t="s">
        <v>691</v>
      </c>
      <c r="C45" s="74" t="s">
        <v>227</v>
      </c>
      <c r="D45" s="94">
        <v>42644</v>
      </c>
      <c r="E45" s="115">
        <v>35000</v>
      </c>
    </row>
    <row r="46" spans="1:6">
      <c r="A46" s="106" t="s">
        <v>377</v>
      </c>
      <c r="B46" s="74" t="s">
        <v>153</v>
      </c>
      <c r="C46" s="74" t="s">
        <v>227</v>
      </c>
      <c r="D46" s="94">
        <v>42675</v>
      </c>
      <c r="E46" s="115">
        <v>25000</v>
      </c>
    </row>
    <row r="47" spans="1:6">
      <c r="A47" s="106" t="s">
        <v>378</v>
      </c>
      <c r="B47" s="74" t="s">
        <v>692</v>
      </c>
      <c r="C47" s="74" t="s">
        <v>227</v>
      </c>
      <c r="D47" s="94">
        <v>42644</v>
      </c>
      <c r="E47" s="115">
        <v>60000</v>
      </c>
    </row>
    <row r="48" spans="1:6">
      <c r="A48" s="106" t="s">
        <v>688</v>
      </c>
      <c r="B48" s="74" t="s">
        <v>153</v>
      </c>
      <c r="C48" s="74" t="s">
        <v>227</v>
      </c>
      <c r="D48" s="94">
        <v>42675</v>
      </c>
      <c r="E48" s="115">
        <v>20000</v>
      </c>
    </row>
    <row r="49" spans="1:6">
      <c r="A49" s="106" t="s">
        <v>689</v>
      </c>
      <c r="B49" s="103" t="s">
        <v>693</v>
      </c>
      <c r="C49" s="74" t="s">
        <v>227</v>
      </c>
      <c r="D49" s="94">
        <v>42644</v>
      </c>
      <c r="E49" s="116">
        <v>40000</v>
      </c>
    </row>
    <row r="50" spans="1:6">
      <c r="A50" s="106" t="s">
        <v>690</v>
      </c>
      <c r="B50" s="103" t="s">
        <v>693</v>
      </c>
      <c r="C50" s="74" t="s">
        <v>227</v>
      </c>
      <c r="D50" s="94">
        <v>42644</v>
      </c>
      <c r="E50" s="116">
        <v>38000</v>
      </c>
    </row>
    <row r="51" spans="1:6" ht="15.6">
      <c r="A51" s="70"/>
      <c r="B51" s="69"/>
      <c r="C51" s="69"/>
    </row>
    <row r="52" spans="1:6">
      <c r="A52" s="157" t="s">
        <v>701</v>
      </c>
      <c r="B52" s="157"/>
      <c r="C52" s="75" t="s">
        <v>1</v>
      </c>
      <c r="D52" s="173" t="s">
        <v>218</v>
      </c>
      <c r="E52" s="173"/>
      <c r="F52" s="173"/>
    </row>
    <row r="53" spans="1:6">
      <c r="A53" s="157"/>
      <c r="B53" s="157"/>
      <c r="C53" s="116">
        <f>SUMIF(D41:D50,"&lt;01-Dec-2016",E41:E50)</f>
        <v>298000</v>
      </c>
      <c r="D53" s="172" t="s">
        <v>700</v>
      </c>
      <c r="E53" s="172"/>
      <c r="F53" s="172"/>
    </row>
    <row r="54" spans="1:6">
      <c r="A54" s="69"/>
      <c r="B54" s="69"/>
      <c r="C54" s="69"/>
    </row>
    <row r="55" spans="1:6">
      <c r="A55" s="69"/>
      <c r="B55" s="69"/>
      <c r="C55" s="69"/>
    </row>
    <row r="56" spans="1:6" ht="15.6">
      <c r="A56" s="70" t="s">
        <v>455</v>
      </c>
      <c r="B56" s="69"/>
      <c r="C56" s="69"/>
    </row>
    <row r="57" spans="1:6">
      <c r="A57" s="101" t="s">
        <v>702</v>
      </c>
    </row>
    <row r="58" spans="1:6">
      <c r="A58" s="75" t="s">
        <v>686</v>
      </c>
      <c r="B58" s="75" t="s">
        <v>687</v>
      </c>
      <c r="C58" s="75" t="s">
        <v>225</v>
      </c>
      <c r="D58" s="75" t="s">
        <v>698</v>
      </c>
      <c r="E58" s="75" t="s">
        <v>228</v>
      </c>
    </row>
    <row r="59" spans="1:6">
      <c r="A59" s="106" t="s">
        <v>221</v>
      </c>
      <c r="B59" s="106" t="s">
        <v>691</v>
      </c>
      <c r="C59" s="106" t="s">
        <v>226</v>
      </c>
      <c r="D59" s="94">
        <v>42736</v>
      </c>
      <c r="E59" s="115">
        <v>40000</v>
      </c>
    </row>
    <row r="60" spans="1:6">
      <c r="A60" s="106" t="s">
        <v>222</v>
      </c>
      <c r="B60" s="106" t="s">
        <v>692</v>
      </c>
      <c r="C60" s="106" t="s">
        <v>226</v>
      </c>
      <c r="D60" s="94">
        <v>42705</v>
      </c>
      <c r="E60" s="115">
        <v>75000</v>
      </c>
    </row>
    <row r="61" spans="1:6">
      <c r="A61" s="106" t="s">
        <v>223</v>
      </c>
      <c r="B61" s="106" t="s">
        <v>153</v>
      </c>
      <c r="C61" s="106" t="s">
        <v>226</v>
      </c>
      <c r="D61" s="94">
        <v>42705</v>
      </c>
      <c r="E61" s="115">
        <v>30000</v>
      </c>
    </row>
    <row r="62" spans="1:6">
      <c r="A62" s="106" t="s">
        <v>224</v>
      </c>
      <c r="B62" s="74" t="s">
        <v>692</v>
      </c>
      <c r="C62" s="74" t="s">
        <v>226</v>
      </c>
      <c r="D62" s="94">
        <v>42675</v>
      </c>
      <c r="E62" s="115">
        <v>80000</v>
      </c>
    </row>
    <row r="63" spans="1:6">
      <c r="A63" s="106" t="s">
        <v>376</v>
      </c>
      <c r="B63" s="74" t="s">
        <v>691</v>
      </c>
      <c r="C63" s="74" t="s">
        <v>227</v>
      </c>
      <c r="D63" s="94">
        <v>42644</v>
      </c>
      <c r="E63" s="115">
        <v>35000</v>
      </c>
    </row>
    <row r="64" spans="1:6">
      <c r="A64" s="106" t="s">
        <v>377</v>
      </c>
      <c r="B64" s="74" t="s">
        <v>153</v>
      </c>
      <c r="C64" s="74" t="s">
        <v>227</v>
      </c>
      <c r="D64" s="94">
        <v>42675</v>
      </c>
      <c r="E64" s="115">
        <v>25000</v>
      </c>
    </row>
    <row r="65" spans="1:6">
      <c r="A65" s="106" t="s">
        <v>378</v>
      </c>
      <c r="B65" s="74" t="s">
        <v>692</v>
      </c>
      <c r="C65" s="74" t="s">
        <v>227</v>
      </c>
      <c r="D65" s="94">
        <v>42644</v>
      </c>
      <c r="E65" s="115">
        <v>60000</v>
      </c>
    </row>
    <row r="66" spans="1:6">
      <c r="A66" s="106" t="s">
        <v>688</v>
      </c>
      <c r="B66" s="74" t="s">
        <v>153</v>
      </c>
      <c r="C66" s="74" t="s">
        <v>227</v>
      </c>
      <c r="D66" s="94">
        <v>42675</v>
      </c>
      <c r="E66" s="115">
        <v>20000</v>
      </c>
    </row>
    <row r="67" spans="1:6">
      <c r="A67" s="106" t="s">
        <v>689</v>
      </c>
      <c r="B67" s="103" t="s">
        <v>693</v>
      </c>
      <c r="C67" s="74" t="s">
        <v>227</v>
      </c>
      <c r="D67" s="94">
        <v>42644</v>
      </c>
      <c r="E67" s="116">
        <v>40000</v>
      </c>
    </row>
    <row r="68" spans="1:6">
      <c r="A68" s="106" t="s">
        <v>690</v>
      </c>
      <c r="B68" s="103" t="s">
        <v>693</v>
      </c>
      <c r="C68" s="74" t="s">
        <v>227</v>
      </c>
      <c r="D68" s="94">
        <v>42644</v>
      </c>
      <c r="E68" s="116">
        <v>38000</v>
      </c>
    </row>
    <row r="69" spans="1:6" ht="15.6">
      <c r="A69" s="70"/>
      <c r="B69" s="69"/>
      <c r="C69" s="69"/>
    </row>
    <row r="70" spans="1:6" ht="15.6">
      <c r="A70" s="70"/>
      <c r="B70" s="69"/>
      <c r="C70" s="75" t="s">
        <v>49</v>
      </c>
      <c r="D70" s="173" t="s">
        <v>218</v>
      </c>
      <c r="E70" s="173"/>
      <c r="F70" s="173"/>
    </row>
    <row r="71" spans="1:6">
      <c r="A71" s="191" t="s">
        <v>695</v>
      </c>
      <c r="B71" s="191"/>
      <c r="C71" s="116">
        <v>225000</v>
      </c>
      <c r="D71" s="214">
        <f>SUMIF(C59:C68, "AVP", E59:E68)</f>
        <v>225000</v>
      </c>
      <c r="E71" s="214"/>
      <c r="F71" s="214"/>
    </row>
    <row r="74" spans="1:6" ht="15.6">
      <c r="A74" s="70" t="s">
        <v>456</v>
      </c>
      <c r="B74" s="69"/>
      <c r="C74" s="69"/>
    </row>
    <row r="75" spans="1:6">
      <c r="A75" s="101" t="s">
        <v>703</v>
      </c>
    </row>
    <row r="76" spans="1:6">
      <c r="A76" s="75" t="s">
        <v>686</v>
      </c>
      <c r="B76" s="75" t="s">
        <v>687</v>
      </c>
      <c r="C76" s="75" t="s">
        <v>225</v>
      </c>
      <c r="D76" s="75" t="s">
        <v>698</v>
      </c>
      <c r="E76" s="75" t="s">
        <v>228</v>
      </c>
    </row>
    <row r="77" spans="1:6">
      <c r="A77" s="106" t="s">
        <v>221</v>
      </c>
      <c r="B77" s="106" t="s">
        <v>691</v>
      </c>
      <c r="C77" s="106" t="s">
        <v>226</v>
      </c>
      <c r="D77" s="94">
        <v>42736</v>
      </c>
      <c r="E77" s="115">
        <v>40000</v>
      </c>
    </row>
    <row r="78" spans="1:6">
      <c r="A78" s="106" t="s">
        <v>222</v>
      </c>
      <c r="B78" s="106" t="s">
        <v>692</v>
      </c>
      <c r="C78" s="106" t="s">
        <v>226</v>
      </c>
      <c r="D78" s="94">
        <v>42705</v>
      </c>
      <c r="E78" s="115">
        <v>75000</v>
      </c>
    </row>
    <row r="79" spans="1:6">
      <c r="A79" s="106" t="s">
        <v>223</v>
      </c>
      <c r="B79" s="106" t="s">
        <v>153</v>
      </c>
      <c r="C79" s="106" t="s">
        <v>226</v>
      </c>
      <c r="D79" s="94">
        <v>42705</v>
      </c>
      <c r="E79" s="115">
        <v>30000</v>
      </c>
    </row>
    <row r="80" spans="1:6">
      <c r="A80" s="106" t="s">
        <v>224</v>
      </c>
      <c r="B80" s="74" t="s">
        <v>692</v>
      </c>
      <c r="C80" s="74" t="s">
        <v>226</v>
      </c>
      <c r="D80" s="94">
        <v>42675</v>
      </c>
      <c r="E80" s="115">
        <v>80000</v>
      </c>
    </row>
    <row r="81" spans="1:6">
      <c r="A81" s="106" t="s">
        <v>376</v>
      </c>
      <c r="B81" s="74" t="s">
        <v>691</v>
      </c>
      <c r="C81" s="74" t="s">
        <v>227</v>
      </c>
      <c r="D81" s="94">
        <v>42644</v>
      </c>
      <c r="E81" s="115">
        <v>35000</v>
      </c>
    </row>
    <row r="82" spans="1:6">
      <c r="A82" s="106" t="s">
        <v>377</v>
      </c>
      <c r="B82" s="74" t="s">
        <v>153</v>
      </c>
      <c r="C82" s="74" t="s">
        <v>227</v>
      </c>
      <c r="D82" s="94">
        <v>42675</v>
      </c>
      <c r="E82" s="115">
        <v>25000</v>
      </c>
    </row>
    <row r="83" spans="1:6">
      <c r="A83" s="106" t="s">
        <v>378</v>
      </c>
      <c r="B83" s="74" t="s">
        <v>692</v>
      </c>
      <c r="C83" s="74" t="s">
        <v>227</v>
      </c>
      <c r="D83" s="94">
        <v>42644</v>
      </c>
      <c r="E83" s="115">
        <v>60000</v>
      </c>
    </row>
    <row r="84" spans="1:6">
      <c r="A84" s="106" t="s">
        <v>688</v>
      </c>
      <c r="B84" s="74" t="s">
        <v>153</v>
      </c>
      <c r="C84" s="74" t="s">
        <v>227</v>
      </c>
      <c r="D84" s="94">
        <v>42675</v>
      </c>
      <c r="E84" s="115">
        <v>20000</v>
      </c>
    </row>
    <row r="85" spans="1:6">
      <c r="A85" s="106" t="s">
        <v>689</v>
      </c>
      <c r="B85" s="103" t="s">
        <v>693</v>
      </c>
      <c r="C85" s="74" t="s">
        <v>227</v>
      </c>
      <c r="D85" s="94">
        <v>42644</v>
      </c>
      <c r="E85" s="116">
        <v>40000</v>
      </c>
    </row>
    <row r="86" spans="1:6">
      <c r="A86" s="106" t="s">
        <v>690</v>
      </c>
      <c r="B86" s="103" t="s">
        <v>693</v>
      </c>
      <c r="C86" s="74" t="s">
        <v>227</v>
      </c>
      <c r="D86" s="94">
        <v>42644</v>
      </c>
      <c r="E86" s="116">
        <v>38000</v>
      </c>
    </row>
    <row r="87" spans="1:6" ht="15.6">
      <c r="A87" s="70"/>
      <c r="B87" s="69"/>
      <c r="C87" s="69"/>
    </row>
    <row r="88" spans="1:6" ht="15.6">
      <c r="A88" s="70"/>
      <c r="B88" s="69"/>
      <c r="C88" s="75" t="s">
        <v>49</v>
      </c>
      <c r="D88" s="173" t="s">
        <v>218</v>
      </c>
      <c r="E88" s="173"/>
      <c r="F88" s="173"/>
    </row>
    <row r="89" spans="1:6">
      <c r="A89" s="191" t="s">
        <v>695</v>
      </c>
      <c r="B89" s="191"/>
      <c r="C89" s="116">
        <v>173000</v>
      </c>
      <c r="D89" s="214">
        <f>SUMIF(D77:D86, "1/10/2016", E77:E86)</f>
        <v>173000</v>
      </c>
      <c r="E89" s="214"/>
      <c r="F89" s="214"/>
    </row>
  </sheetData>
  <mergeCells count="17">
    <mergeCell ref="D88:F88"/>
    <mergeCell ref="A89:B89"/>
    <mergeCell ref="D89:F89"/>
    <mergeCell ref="A52:B53"/>
    <mergeCell ref="D70:F70"/>
    <mergeCell ref="A71:B71"/>
    <mergeCell ref="D71:F71"/>
    <mergeCell ref="A1:B1"/>
    <mergeCell ref="A4:I4"/>
    <mergeCell ref="D52:F52"/>
    <mergeCell ref="D53:F53"/>
    <mergeCell ref="A16:J17"/>
    <mergeCell ref="A34:B34"/>
    <mergeCell ref="A35:B35"/>
    <mergeCell ref="D33:F33"/>
    <mergeCell ref="D34:F34"/>
    <mergeCell ref="D35:F35"/>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43" zoomScale="90" zoomScaleNormal="90" workbookViewId="0">
      <selection activeCell="D55" sqref="D55:F55"/>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186</v>
      </c>
      <c r="B1" s="170"/>
      <c r="C1" s="170"/>
      <c r="D1" s="73"/>
      <c r="E1" s="73"/>
      <c r="F1" s="73"/>
      <c r="G1" s="73"/>
      <c r="H1" s="73"/>
      <c r="I1" s="73"/>
      <c r="J1" s="73"/>
      <c r="K1" s="73"/>
    </row>
    <row r="2" spans="1:11" ht="15" thickTop="1"/>
    <row r="3" spans="1:11" ht="18">
      <c r="A3" s="71" t="s">
        <v>204</v>
      </c>
    </row>
    <row r="4" spans="1:11" ht="15" customHeight="1">
      <c r="A4" s="171" t="s">
        <v>704</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705</v>
      </c>
    </row>
    <row r="9" spans="1:11" ht="15.6">
      <c r="A9" s="70" t="s">
        <v>706</v>
      </c>
    </row>
    <row r="10" spans="1:11">
      <c r="A10" t="s">
        <v>707</v>
      </c>
    </row>
    <row r="11" spans="1:11">
      <c r="A11" s="109"/>
    </row>
    <row r="12" spans="1:11" ht="15.6">
      <c r="A12" s="70" t="s">
        <v>708</v>
      </c>
    </row>
    <row r="13" spans="1:11">
      <c r="A13" t="s">
        <v>709</v>
      </c>
    </row>
    <row r="14" spans="1:11">
      <c r="A14" s="109"/>
    </row>
    <row r="15" spans="1:11" ht="15.6">
      <c r="A15" s="70" t="s">
        <v>44</v>
      </c>
    </row>
    <row r="16" spans="1:11">
      <c r="A16" s="101" t="s">
        <v>710</v>
      </c>
    </row>
    <row r="17" spans="1:6">
      <c r="A17" s="75" t="s">
        <v>711</v>
      </c>
      <c r="B17" s="75" t="s">
        <v>720</v>
      </c>
      <c r="C17" s="75" t="s">
        <v>89</v>
      </c>
      <c r="D17" s="75" t="s">
        <v>718</v>
      </c>
    </row>
    <row r="18" spans="1:6">
      <c r="A18" s="106" t="s">
        <v>712</v>
      </c>
      <c r="B18" s="74" t="s">
        <v>261</v>
      </c>
      <c r="C18" s="118">
        <v>1.5</v>
      </c>
      <c r="D18" s="117">
        <v>100</v>
      </c>
    </row>
    <row r="19" spans="1:6">
      <c r="A19" s="106" t="s">
        <v>713</v>
      </c>
      <c r="B19" s="74" t="s">
        <v>260</v>
      </c>
      <c r="C19" s="118">
        <v>1.99</v>
      </c>
      <c r="D19" s="117">
        <v>150</v>
      </c>
    </row>
    <row r="20" spans="1:6">
      <c r="A20" s="106" t="s">
        <v>714</v>
      </c>
      <c r="B20" s="74" t="s">
        <v>260</v>
      </c>
      <c r="C20" s="118">
        <v>2.0499999999999998</v>
      </c>
      <c r="D20" s="117">
        <v>200</v>
      </c>
    </row>
    <row r="21" spans="1:6">
      <c r="A21" s="106" t="s">
        <v>715</v>
      </c>
      <c r="B21" s="74" t="s">
        <v>261</v>
      </c>
      <c r="C21" s="118">
        <v>3.5</v>
      </c>
      <c r="D21" s="117">
        <v>50</v>
      </c>
    </row>
    <row r="22" spans="1:6">
      <c r="A22" s="106" t="s">
        <v>716</v>
      </c>
      <c r="B22" s="74" t="s">
        <v>260</v>
      </c>
      <c r="C22" s="118">
        <v>4.9000000000000004</v>
      </c>
      <c r="D22" s="117">
        <v>400</v>
      </c>
    </row>
    <row r="23" spans="1:6">
      <c r="A23" s="106" t="s">
        <v>717</v>
      </c>
      <c r="B23" s="74" t="s">
        <v>261</v>
      </c>
      <c r="C23" s="118">
        <v>5</v>
      </c>
      <c r="D23" s="117">
        <v>1000</v>
      </c>
    </row>
    <row r="24" spans="1:6" ht="15.6">
      <c r="A24" s="70"/>
      <c r="B24" s="69"/>
      <c r="C24" s="69"/>
    </row>
    <row r="25" spans="1:6" ht="15.6">
      <c r="A25" s="70"/>
      <c r="B25" s="69"/>
      <c r="C25" s="75" t="s">
        <v>1</v>
      </c>
      <c r="D25" s="173" t="s">
        <v>218</v>
      </c>
      <c r="E25" s="173"/>
      <c r="F25" s="173"/>
    </row>
    <row r="26" spans="1:6">
      <c r="A26" s="192" t="s">
        <v>719</v>
      </c>
      <c r="B26" s="192"/>
      <c r="C26" s="116">
        <f>SUMPRODUCT(C18:C23,D18:D23)</f>
        <v>7993.5</v>
      </c>
      <c r="D26" s="172" t="s">
        <v>721</v>
      </c>
      <c r="E26" s="172"/>
      <c r="F26" s="172"/>
    </row>
    <row r="27" spans="1:6" ht="15.6">
      <c r="A27" s="70"/>
      <c r="B27" s="69"/>
      <c r="C27" s="69"/>
    </row>
    <row r="29" spans="1:6" ht="15.6">
      <c r="A29" s="70" t="s">
        <v>78</v>
      </c>
    </row>
    <row r="30" spans="1:6">
      <c r="A30" s="101" t="s">
        <v>722</v>
      </c>
    </row>
    <row r="31" spans="1:6">
      <c r="A31" s="75" t="s">
        <v>711</v>
      </c>
      <c r="B31" s="75" t="s">
        <v>720</v>
      </c>
      <c r="C31" s="75" t="s">
        <v>719</v>
      </c>
    </row>
    <row r="32" spans="1:6">
      <c r="A32" s="106" t="s">
        <v>712</v>
      </c>
      <c r="B32" s="74" t="s">
        <v>261</v>
      </c>
      <c r="C32" s="119">
        <v>150</v>
      </c>
    </row>
    <row r="33" spans="1:6">
      <c r="A33" s="106" t="s">
        <v>713</v>
      </c>
      <c r="B33" s="74" t="s">
        <v>260</v>
      </c>
      <c r="C33" s="119">
        <v>298.5</v>
      </c>
    </row>
    <row r="34" spans="1:6">
      <c r="A34" s="106" t="s">
        <v>714</v>
      </c>
      <c r="B34" s="74" t="s">
        <v>260</v>
      </c>
      <c r="C34" s="119">
        <v>409.99999999999994</v>
      </c>
    </row>
    <row r="35" spans="1:6">
      <c r="A35" s="106" t="s">
        <v>715</v>
      </c>
      <c r="B35" s="74" t="s">
        <v>261</v>
      </c>
      <c r="C35" s="119">
        <v>175</v>
      </c>
    </row>
    <row r="36" spans="1:6">
      <c r="A36" s="106" t="s">
        <v>716</v>
      </c>
      <c r="B36" s="74" t="s">
        <v>260</v>
      </c>
      <c r="C36" s="119">
        <v>1960.0000000000002</v>
      </c>
    </row>
    <row r="37" spans="1:6">
      <c r="A37" s="106" t="s">
        <v>717</v>
      </c>
      <c r="B37" s="74" t="s">
        <v>261</v>
      </c>
      <c r="C37" s="119">
        <v>5000</v>
      </c>
    </row>
    <row r="38" spans="1:6" ht="15.6">
      <c r="A38" s="70"/>
      <c r="B38" s="69"/>
      <c r="C38" s="69"/>
    </row>
    <row r="39" spans="1:6" ht="15.6">
      <c r="A39" s="70"/>
      <c r="B39" s="69"/>
      <c r="C39" s="75" t="s">
        <v>1</v>
      </c>
      <c r="D39" s="173" t="s">
        <v>218</v>
      </c>
      <c r="E39" s="173"/>
      <c r="F39" s="173"/>
    </row>
    <row r="40" spans="1:6">
      <c r="A40" s="192" t="s">
        <v>723</v>
      </c>
      <c r="B40" s="192"/>
      <c r="C40" s="120">
        <f>SUMPRODUCT(--(B32:B37="YES"))</f>
        <v>3</v>
      </c>
      <c r="D40" s="172" t="s">
        <v>725</v>
      </c>
      <c r="E40" s="172"/>
      <c r="F40" s="172"/>
    </row>
    <row r="41" spans="1:6">
      <c r="A41" s="192" t="s">
        <v>724</v>
      </c>
      <c r="B41" s="192"/>
      <c r="C41" s="116">
        <f>SUMPRODUCT(--(B32:B37="YES"),C32:C37)</f>
        <v>2668.5</v>
      </c>
      <c r="D41" s="172" t="s">
        <v>726</v>
      </c>
      <c r="E41" s="172"/>
      <c r="F41" s="172"/>
    </row>
    <row r="44" spans="1:6" ht="15.6">
      <c r="A44" s="70" t="s">
        <v>455</v>
      </c>
    </row>
    <row r="45" spans="1:6">
      <c r="A45" s="101" t="s">
        <v>710</v>
      </c>
    </row>
    <row r="46" spans="1:6">
      <c r="A46" s="75" t="s">
        <v>711</v>
      </c>
      <c r="B46" s="75" t="s">
        <v>720</v>
      </c>
      <c r="C46" s="75" t="s">
        <v>153</v>
      </c>
      <c r="D46" s="75" t="s">
        <v>718</v>
      </c>
    </row>
    <row r="47" spans="1:6">
      <c r="A47" s="106" t="s">
        <v>712</v>
      </c>
      <c r="B47" s="74" t="s">
        <v>261</v>
      </c>
      <c r="C47" s="118">
        <v>3.1</v>
      </c>
      <c r="D47" s="117">
        <v>500</v>
      </c>
    </row>
    <row r="48" spans="1:6">
      <c r="A48" s="106" t="s">
        <v>713</v>
      </c>
      <c r="B48" s="74" t="s">
        <v>260</v>
      </c>
      <c r="C48" s="118">
        <v>2.5</v>
      </c>
      <c r="D48" s="117">
        <v>150</v>
      </c>
    </row>
    <row r="49" spans="1:6">
      <c r="A49" s="106" t="s">
        <v>714</v>
      </c>
      <c r="B49" s="74" t="s">
        <v>260</v>
      </c>
      <c r="C49" s="118">
        <v>10</v>
      </c>
      <c r="D49" s="117">
        <v>100</v>
      </c>
    </row>
    <row r="50" spans="1:6">
      <c r="A50" s="106" t="s">
        <v>715</v>
      </c>
      <c r="B50" s="74" t="s">
        <v>261</v>
      </c>
      <c r="C50" s="118">
        <v>1</v>
      </c>
      <c r="D50" s="117">
        <v>500</v>
      </c>
    </row>
    <row r="51" spans="1:6">
      <c r="A51" s="106" t="s">
        <v>716</v>
      </c>
      <c r="B51" s="74" t="s">
        <v>260</v>
      </c>
      <c r="C51" s="118">
        <v>4</v>
      </c>
      <c r="D51" s="117">
        <v>200</v>
      </c>
    </row>
    <row r="52" spans="1:6">
      <c r="A52" s="106" t="s">
        <v>717</v>
      </c>
      <c r="B52" s="74" t="s">
        <v>261</v>
      </c>
      <c r="C52" s="118">
        <v>2</v>
      </c>
      <c r="D52" s="117">
        <v>2000</v>
      </c>
    </row>
    <row r="53" spans="1:6" ht="15.6">
      <c r="A53" s="70"/>
      <c r="B53" s="69"/>
      <c r="C53" s="69"/>
    </row>
    <row r="54" spans="1:6" ht="15.6">
      <c r="A54" s="70"/>
      <c r="B54" s="69"/>
      <c r="C54" s="75" t="s">
        <v>1</v>
      </c>
      <c r="D54" s="173" t="s">
        <v>218</v>
      </c>
      <c r="E54" s="173"/>
      <c r="F54" s="173"/>
    </row>
    <row r="55" spans="1:6">
      <c r="A55" s="192" t="s">
        <v>727</v>
      </c>
      <c r="B55" s="192"/>
      <c r="C55" s="116">
        <v>8225</v>
      </c>
      <c r="D55" s="215">
        <f>SUMPRODUCT(C47:C52, D47:D52)</f>
        <v>8225</v>
      </c>
      <c r="E55" s="215"/>
      <c r="F55" s="215"/>
    </row>
    <row r="56" spans="1:6" ht="15.6">
      <c r="A56" s="70"/>
      <c r="B56" s="69"/>
      <c r="C56" s="69"/>
    </row>
    <row r="58" spans="1:6" ht="15.6">
      <c r="A58" s="70" t="s">
        <v>456</v>
      </c>
    </row>
    <row r="59" spans="1:6">
      <c r="A59" s="101" t="s">
        <v>728</v>
      </c>
    </row>
    <row r="60" spans="1:6">
      <c r="A60" s="75" t="s">
        <v>711</v>
      </c>
      <c r="B60" s="75" t="s">
        <v>720</v>
      </c>
      <c r="C60" s="75" t="s">
        <v>719</v>
      </c>
    </row>
    <row r="61" spans="1:6">
      <c r="A61" s="106" t="s">
        <v>712</v>
      </c>
      <c r="B61" s="74" t="s">
        <v>261</v>
      </c>
      <c r="C61" s="119">
        <v>150</v>
      </c>
    </row>
    <row r="62" spans="1:6">
      <c r="A62" s="106" t="s">
        <v>713</v>
      </c>
      <c r="B62" s="74" t="s">
        <v>260</v>
      </c>
      <c r="C62" s="119">
        <v>298.5</v>
      </c>
    </row>
    <row r="63" spans="1:6">
      <c r="A63" s="106" t="s">
        <v>714</v>
      </c>
      <c r="B63" s="74" t="s">
        <v>260</v>
      </c>
      <c r="C63" s="119">
        <v>409.99999999999994</v>
      </c>
    </row>
    <row r="64" spans="1:6">
      <c r="A64" s="106" t="s">
        <v>715</v>
      </c>
      <c r="B64" s="74" t="s">
        <v>261</v>
      </c>
      <c r="C64" s="119">
        <v>175</v>
      </c>
    </row>
    <row r="65" spans="1:3">
      <c r="A65" s="106" t="s">
        <v>716</v>
      </c>
      <c r="B65" s="74" t="s">
        <v>260</v>
      </c>
      <c r="C65" s="119">
        <v>1960.0000000000002</v>
      </c>
    </row>
    <row r="66" spans="1:3">
      <c r="A66" s="106" t="s">
        <v>717</v>
      </c>
      <c r="B66" s="74" t="s">
        <v>261</v>
      </c>
      <c r="C66" s="119">
        <v>5000</v>
      </c>
    </row>
    <row r="67" spans="1:3" ht="15.6">
      <c r="A67" s="70"/>
      <c r="B67" s="69"/>
      <c r="C67" s="69"/>
    </row>
    <row r="68" spans="1:3" ht="15.6">
      <c r="A68" s="70"/>
      <c r="B68" s="69"/>
      <c r="C68" s="75" t="s">
        <v>1</v>
      </c>
    </row>
    <row r="69" spans="1:3">
      <c r="A69" s="192" t="s">
        <v>723</v>
      </c>
      <c r="B69" s="192"/>
      <c r="C69" s="120">
        <f>SUMPRODUCT(--(B61:B66="NO"))</f>
        <v>3</v>
      </c>
    </row>
    <row r="70" spans="1:3">
      <c r="A70" s="193" t="s">
        <v>729</v>
      </c>
      <c r="B70" s="194"/>
      <c r="C70" s="116">
        <f>SUMPRODUCT((B61:B66="NO") * (C61:C66))</f>
        <v>5325</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topLeftCell="A28" zoomScale="90" zoomScaleNormal="90" workbookViewId="0">
      <selection sqref="A1:B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187</v>
      </c>
      <c r="B1" s="170"/>
      <c r="C1" s="98"/>
      <c r="D1" s="73"/>
      <c r="E1" s="73"/>
      <c r="F1" s="73"/>
      <c r="G1" s="73"/>
      <c r="H1" s="73"/>
      <c r="I1" s="73"/>
      <c r="J1" s="73"/>
      <c r="K1" s="73"/>
    </row>
    <row r="2" spans="1:11" ht="15" thickTop="1"/>
    <row r="3" spans="1:11" ht="18">
      <c r="A3" s="71" t="s">
        <v>204</v>
      </c>
    </row>
    <row r="4" spans="1:11" ht="15" customHeight="1">
      <c r="A4" s="171" t="s">
        <v>730</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731</v>
      </c>
    </row>
    <row r="9" spans="1:11" ht="15.6">
      <c r="A9" s="70" t="s">
        <v>732</v>
      </c>
    </row>
    <row r="10" spans="1:11">
      <c r="A10" t="s">
        <v>733</v>
      </c>
    </row>
    <row r="11" spans="1:11">
      <c r="A11" s="109"/>
    </row>
    <row r="12" spans="1:11" ht="15.6">
      <c r="A12" s="70" t="s">
        <v>48</v>
      </c>
    </row>
    <row r="13" spans="1:11">
      <c r="A13" s="101" t="s">
        <v>734</v>
      </c>
    </row>
    <row r="14" spans="1:11">
      <c r="A14" s="75" t="s">
        <v>735</v>
      </c>
      <c r="B14" s="75" t="s">
        <v>218</v>
      </c>
    </row>
    <row r="15" spans="1:11">
      <c r="A15" s="74">
        <f ca="1">RAND()</f>
        <v>0.7053381407498458</v>
      </c>
      <c r="B15" s="117" t="s">
        <v>731</v>
      </c>
    </row>
    <row r="16" spans="1:11">
      <c r="A16" s="74">
        <f t="shared" ref="A16:A20" ca="1" si="0">RAND()</f>
        <v>0.76971073934133882</v>
      </c>
      <c r="B16" s="117" t="s">
        <v>731</v>
      </c>
    </row>
    <row r="17" spans="1:3">
      <c r="A17" s="74">
        <f t="shared" ca="1" si="0"/>
        <v>0.66101881480398039</v>
      </c>
      <c r="B17" s="117" t="s">
        <v>731</v>
      </c>
    </row>
    <row r="18" spans="1:3">
      <c r="A18" s="74">
        <f t="shared" ca="1" si="0"/>
        <v>0.1240024432746184</v>
      </c>
      <c r="B18" s="117" t="s">
        <v>731</v>
      </c>
    </row>
    <row r="19" spans="1:3">
      <c r="A19" s="74">
        <f t="shared" ca="1" si="0"/>
        <v>9.646465491606937E-2</v>
      </c>
      <c r="B19" s="117" t="s">
        <v>731</v>
      </c>
    </row>
    <row r="20" spans="1:3">
      <c r="A20" s="74">
        <f t="shared" ca="1" si="0"/>
        <v>0.76483592953361135</v>
      </c>
      <c r="B20" s="117" t="s">
        <v>731</v>
      </c>
    </row>
    <row r="21" spans="1:3" ht="15.6">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topLeftCell="A4" zoomScale="90" zoomScaleNormal="90" workbookViewId="0">
      <selection activeCell="A18" sqref="A18"/>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736</v>
      </c>
      <c r="B1" s="170"/>
      <c r="C1" s="170"/>
      <c r="D1" s="73"/>
      <c r="E1" s="73"/>
      <c r="F1" s="73"/>
      <c r="G1" s="73"/>
      <c r="H1" s="73"/>
      <c r="I1" s="73"/>
      <c r="J1" s="73"/>
      <c r="K1" s="73"/>
    </row>
    <row r="2" spans="1:11" ht="15" thickTop="1"/>
    <row r="3" spans="1:11" ht="18">
      <c r="A3" s="71" t="s">
        <v>204</v>
      </c>
    </row>
    <row r="4" spans="1:11" ht="15" customHeight="1">
      <c r="A4" s="171" t="s">
        <v>737</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738</v>
      </c>
    </row>
    <row r="9" spans="1:11" ht="15.6">
      <c r="A9" s="70" t="s">
        <v>739</v>
      </c>
    </row>
    <row r="10" spans="1:11">
      <c r="A10" t="s">
        <v>741</v>
      </c>
    </row>
    <row r="11" spans="1:11">
      <c r="A11" s="109"/>
    </row>
    <row r="12" spans="1:11" ht="15.6">
      <c r="A12" s="70" t="s">
        <v>740</v>
      </c>
    </row>
    <row r="13" spans="1:11">
      <c r="A13" t="s">
        <v>742</v>
      </c>
    </row>
    <row r="14" spans="1:11">
      <c r="A14" s="109"/>
    </row>
    <row r="15" spans="1:11" ht="15.6">
      <c r="A15" s="70" t="s">
        <v>48</v>
      </c>
    </row>
    <row r="16" spans="1:11">
      <c r="A16" s="101" t="s">
        <v>734</v>
      </c>
    </row>
    <row r="17" spans="1:3">
      <c r="A17" s="75" t="s">
        <v>735</v>
      </c>
      <c r="B17" s="151" t="s">
        <v>218</v>
      </c>
      <c r="C17" s="151"/>
    </row>
    <row r="18" spans="1:3">
      <c r="A18" s="74">
        <f ca="1">RANDBETWEEN(0,100000)</f>
        <v>66590</v>
      </c>
      <c r="B18" s="155" t="s">
        <v>743</v>
      </c>
      <c r="C18" s="155"/>
    </row>
    <row r="19" spans="1:3">
      <c r="A19" s="74">
        <f t="shared" ref="A19:A20" ca="1" si="0">RANDBETWEEN(0,100000)</f>
        <v>47777</v>
      </c>
      <c r="B19" s="155" t="s">
        <v>743</v>
      </c>
      <c r="C19" s="155"/>
    </row>
    <row r="20" spans="1:3">
      <c r="A20" s="74">
        <f t="shared" ca="1" si="0"/>
        <v>31597</v>
      </c>
      <c r="B20" s="155" t="s">
        <v>743</v>
      </c>
      <c r="C20" s="155"/>
    </row>
    <row r="21" spans="1:3">
      <c r="A21" s="74">
        <f ca="1">RANDBETWEEN(0,5000)</f>
        <v>3187</v>
      </c>
      <c r="B21" s="155" t="s">
        <v>744</v>
      </c>
      <c r="C21" s="155"/>
    </row>
    <row r="22" spans="1:3">
      <c r="A22" s="74">
        <f t="shared" ref="A22:A23" ca="1" si="1">RANDBETWEEN(0,5000)</f>
        <v>3314</v>
      </c>
      <c r="B22" s="155" t="s">
        <v>744</v>
      </c>
      <c r="C22" s="155"/>
    </row>
    <row r="23" spans="1:3">
      <c r="A23" s="74">
        <f t="shared" ca="1" si="1"/>
        <v>705</v>
      </c>
      <c r="B23" s="155" t="s">
        <v>744</v>
      </c>
      <c r="C23" s="155"/>
    </row>
    <row r="24" spans="1:3" ht="15.6">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topLeftCell="A7" zoomScale="90" zoomScaleNormal="90" workbookViewId="0">
      <selection activeCell="C26" sqref="C26:D29"/>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bestFit="1" customWidth="1"/>
    <col min="8" max="8" width="10.109375" customWidth="1"/>
    <col min="9" max="9" width="12.109375" customWidth="1"/>
    <col min="10" max="10" width="11.33203125" customWidth="1"/>
    <col min="11" max="11" width="10.109375" customWidth="1"/>
  </cols>
  <sheetData>
    <row r="1" spans="1:11" ht="31.8" thickBot="1">
      <c r="A1" s="170" t="s">
        <v>188</v>
      </c>
      <c r="B1" s="170"/>
      <c r="C1" s="98"/>
      <c r="D1" s="73"/>
      <c r="E1" s="73"/>
      <c r="F1" s="73"/>
      <c r="G1" s="73"/>
      <c r="H1" s="73"/>
      <c r="I1" s="73"/>
      <c r="J1" s="73"/>
      <c r="K1" s="73"/>
    </row>
    <row r="2" spans="1:11" ht="15" thickTop="1"/>
    <row r="3" spans="1:11" ht="18">
      <c r="A3" s="71" t="s">
        <v>204</v>
      </c>
    </row>
    <row r="4" spans="1:11" ht="15" customHeight="1">
      <c r="A4" s="171" t="s">
        <v>745</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746</v>
      </c>
    </row>
    <row r="9" spans="1:11" ht="15.6">
      <c r="A9" s="70" t="s">
        <v>143</v>
      </c>
    </row>
    <row r="10" spans="1:11">
      <c r="A10" t="s">
        <v>747</v>
      </c>
    </row>
    <row r="11" spans="1:11">
      <c r="A11" s="109"/>
    </row>
    <row r="12" spans="1:11" ht="15.6">
      <c r="A12" s="70" t="s">
        <v>748</v>
      </c>
    </row>
    <row r="13" spans="1:11">
      <c r="A13" t="s">
        <v>749</v>
      </c>
    </row>
    <row r="14" spans="1:11">
      <c r="A14" s="109"/>
    </row>
    <row r="15" spans="1:11" ht="15.6">
      <c r="A15" s="70" t="s">
        <v>48</v>
      </c>
    </row>
    <row r="16" spans="1:11">
      <c r="A16" s="101" t="s">
        <v>750</v>
      </c>
    </row>
    <row r="17" spans="1:4">
      <c r="A17" s="75" t="s">
        <v>751</v>
      </c>
      <c r="B17" s="75" t="s">
        <v>752</v>
      </c>
      <c r="C17" s="151" t="s">
        <v>218</v>
      </c>
      <c r="D17" s="151"/>
    </row>
    <row r="18" spans="1:4">
      <c r="A18" s="121">
        <v>45.397610567982859</v>
      </c>
      <c r="B18" s="122">
        <f>ROUND(A18,2)</f>
        <v>45.4</v>
      </c>
      <c r="C18" s="155" t="s">
        <v>753</v>
      </c>
      <c r="D18" s="155"/>
    </row>
    <row r="19" spans="1:4">
      <c r="A19" s="121">
        <v>50.654626487009899</v>
      </c>
      <c r="B19" s="122">
        <f>ROUND(A19,1)</f>
        <v>50.7</v>
      </c>
      <c r="C19" s="155" t="s">
        <v>754</v>
      </c>
      <c r="D19" s="155"/>
    </row>
    <row r="20" spans="1:4">
      <c r="A20" s="121">
        <v>85.413909259984749</v>
      </c>
      <c r="B20" s="123">
        <f>ROUND(A20,3)</f>
        <v>85.414000000000001</v>
      </c>
      <c r="C20" s="155" t="s">
        <v>755</v>
      </c>
      <c r="D20" s="155"/>
    </row>
    <row r="21" spans="1:4">
      <c r="A21" s="121">
        <v>33.589347121750201</v>
      </c>
      <c r="B21" s="124">
        <f>ROUND(A21,0)</f>
        <v>34</v>
      </c>
      <c r="C21" s="155" t="s">
        <v>756</v>
      </c>
      <c r="D21" s="155"/>
    </row>
    <row r="22" spans="1:4" ht="15.6">
      <c r="A22" s="70"/>
      <c r="B22" s="69"/>
      <c r="C22" s="69"/>
    </row>
    <row r="23" spans="1:4" ht="15.6">
      <c r="A23" s="70" t="s">
        <v>236</v>
      </c>
    </row>
    <row r="24" spans="1:4">
      <c r="A24" s="101" t="s">
        <v>750</v>
      </c>
    </row>
    <row r="25" spans="1:4">
      <c r="A25" s="75" t="s">
        <v>711</v>
      </c>
      <c r="B25" s="75" t="s">
        <v>49</v>
      </c>
      <c r="C25" s="151" t="s">
        <v>218</v>
      </c>
      <c r="D25" s="151"/>
    </row>
    <row r="26" spans="1:4">
      <c r="A26" s="126">
        <v>81.373000000000005</v>
      </c>
      <c r="B26" s="127">
        <v>81.37</v>
      </c>
      <c r="C26" s="195">
        <f>ROUND(A26, B26)</f>
        <v>81.373000000000005</v>
      </c>
      <c r="D26" s="155"/>
    </row>
    <row r="27" spans="1:4">
      <c r="A27" s="125">
        <v>7.9596999999999998</v>
      </c>
      <c r="B27" s="127">
        <v>8</v>
      </c>
      <c r="C27" s="195">
        <f t="shared" ref="C27:C29" si="0">ROUND(A27, B27)</f>
        <v>7.9596999999999998</v>
      </c>
      <c r="D27" s="155"/>
    </row>
    <row r="28" spans="1:4">
      <c r="A28" s="125">
        <v>521.25779999999997</v>
      </c>
      <c r="B28" s="127">
        <v>521.25800000000004</v>
      </c>
      <c r="C28" s="195">
        <f t="shared" si="0"/>
        <v>521.25779999999997</v>
      </c>
      <c r="D28" s="155"/>
    </row>
    <row r="29" spans="1:4">
      <c r="A29" s="126">
        <v>4.6985000000000001</v>
      </c>
      <c r="B29" s="127">
        <v>4.7</v>
      </c>
      <c r="C29" s="195">
        <f t="shared" si="0"/>
        <v>4.6985000000000001</v>
      </c>
      <c r="D29" s="155"/>
    </row>
    <row r="30" spans="1:4" ht="15.6">
      <c r="A30" s="70"/>
      <c r="B30" s="69"/>
      <c r="C30" s="69"/>
    </row>
  </sheetData>
  <mergeCells count="12">
    <mergeCell ref="C28:D28"/>
    <mergeCell ref="C29:D29"/>
    <mergeCell ref="C17:D17"/>
    <mergeCell ref="C19:D19"/>
    <mergeCell ref="C20:D20"/>
    <mergeCell ref="C21:D21"/>
    <mergeCell ref="C25:D25"/>
    <mergeCell ref="A1:B1"/>
    <mergeCell ref="A4:I4"/>
    <mergeCell ref="C18:D18"/>
    <mergeCell ref="C26:D26"/>
    <mergeCell ref="C27:D27"/>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zoomScale="90" zoomScaleNormal="90" workbookViewId="0">
      <selection activeCell="B23" sqref="B23:B2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189</v>
      </c>
      <c r="B1" s="170"/>
      <c r="C1" s="98"/>
      <c r="D1" s="73"/>
      <c r="E1" s="73"/>
      <c r="F1" s="73"/>
      <c r="G1" s="73"/>
      <c r="H1" s="73"/>
      <c r="I1" s="73"/>
      <c r="J1" s="73"/>
      <c r="K1" s="73"/>
    </row>
    <row r="2" spans="1:11" ht="15" thickTop="1"/>
    <row r="3" spans="1:11" ht="18">
      <c r="A3" s="71" t="s">
        <v>204</v>
      </c>
    </row>
    <row r="4" spans="1:11" ht="15" customHeight="1">
      <c r="A4" s="171" t="s">
        <v>860</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858</v>
      </c>
    </row>
    <row r="9" spans="1:11" ht="15.6">
      <c r="A9" s="70" t="s">
        <v>145</v>
      </c>
    </row>
    <row r="10" spans="1:11">
      <c r="A10" t="s">
        <v>859</v>
      </c>
    </row>
    <row r="11" spans="1:11">
      <c r="A11" s="109"/>
    </row>
    <row r="12" spans="1:11" ht="15.6">
      <c r="A12" s="70" t="s">
        <v>48</v>
      </c>
    </row>
    <row r="13" spans="1:11">
      <c r="A13" s="101" t="s">
        <v>861</v>
      </c>
    </row>
    <row r="14" spans="1:11">
      <c r="A14" s="75" t="s">
        <v>751</v>
      </c>
      <c r="B14" s="75" t="s">
        <v>752</v>
      </c>
      <c r="C14" s="151" t="s">
        <v>218</v>
      </c>
      <c r="D14" s="151"/>
    </row>
    <row r="15" spans="1:11">
      <c r="A15" s="121">
        <v>45.397610567982859</v>
      </c>
      <c r="B15" s="124">
        <f>EVEN(A15)</f>
        <v>46</v>
      </c>
      <c r="C15" s="155" t="s">
        <v>862</v>
      </c>
      <c r="D15" s="155"/>
    </row>
    <row r="16" spans="1:11">
      <c r="A16" s="121">
        <v>-50.654626487009899</v>
      </c>
      <c r="B16" s="124">
        <f t="shared" ref="B16:B18" si="0">EVEN(A16)</f>
        <v>-52</v>
      </c>
      <c r="C16" s="155" t="s">
        <v>863</v>
      </c>
      <c r="D16" s="155"/>
    </row>
    <row r="17" spans="1:4">
      <c r="A17" s="121">
        <v>85.413909259984749</v>
      </c>
      <c r="B17" s="124">
        <f t="shared" si="0"/>
        <v>86</v>
      </c>
      <c r="C17" s="155" t="s">
        <v>864</v>
      </c>
      <c r="D17" s="155"/>
    </row>
    <row r="18" spans="1:4">
      <c r="A18" s="121">
        <v>31.589347121750201</v>
      </c>
      <c r="B18" s="124">
        <f t="shared" si="0"/>
        <v>32</v>
      </c>
      <c r="C18" s="155" t="s">
        <v>865</v>
      </c>
      <c r="D18" s="155"/>
    </row>
    <row r="19" spans="1:4" ht="15.6">
      <c r="A19" s="70"/>
      <c r="B19" s="69"/>
      <c r="C19" s="69"/>
    </row>
    <row r="20" spans="1:4" ht="15.6">
      <c r="A20" s="70" t="s">
        <v>236</v>
      </c>
    </row>
    <row r="21" spans="1:4">
      <c r="A21" s="101" t="s">
        <v>866</v>
      </c>
    </row>
    <row r="22" spans="1:4">
      <c r="A22" s="75" t="s">
        <v>711</v>
      </c>
      <c r="B22" s="75" t="s">
        <v>49</v>
      </c>
    </row>
    <row r="23" spans="1:4">
      <c r="A23" s="74">
        <v>1111.1110000000001</v>
      </c>
      <c r="B23" s="127">
        <f>EVEN(A23)</f>
        <v>1112</v>
      </c>
    </row>
    <row r="24" spans="1:4">
      <c r="A24" s="74">
        <v>95.3</v>
      </c>
      <c r="B24" s="127">
        <f t="shared" ref="B24:B26" si="1">EVEN(A24)</f>
        <v>96</v>
      </c>
    </row>
    <row r="25" spans="1:4">
      <c r="A25" s="74">
        <v>51.5</v>
      </c>
      <c r="B25" s="127">
        <f t="shared" si="1"/>
        <v>52</v>
      </c>
    </row>
    <row r="26" spans="1:4">
      <c r="A26" s="126">
        <v>-4.6985000000000001</v>
      </c>
      <c r="B26" s="127">
        <f t="shared" si="1"/>
        <v>-6</v>
      </c>
    </row>
    <row r="27" spans="1:4" ht="15.6">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B23" sqref="B23:B2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867</v>
      </c>
      <c r="B1" s="170"/>
      <c r="C1" s="98"/>
      <c r="D1" s="73"/>
      <c r="E1" s="73"/>
      <c r="F1" s="73"/>
      <c r="G1" s="73"/>
      <c r="H1" s="73"/>
      <c r="I1" s="73"/>
      <c r="J1" s="73"/>
      <c r="K1" s="73"/>
    </row>
    <row r="2" spans="1:11" ht="15" thickTop="1"/>
    <row r="3" spans="1:11" ht="18">
      <c r="A3" s="71" t="s">
        <v>204</v>
      </c>
    </row>
    <row r="4" spans="1:11" ht="15" customHeight="1">
      <c r="A4" s="171" t="s">
        <v>868</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869</v>
      </c>
    </row>
    <row r="9" spans="1:11" ht="15.6">
      <c r="A9" s="70" t="s">
        <v>145</v>
      </c>
    </row>
    <row r="10" spans="1:11">
      <c r="A10" t="s">
        <v>870</v>
      </c>
    </row>
    <row r="11" spans="1:11">
      <c r="A11" s="109"/>
    </row>
    <row r="12" spans="1:11" ht="15.6">
      <c r="A12" s="70" t="s">
        <v>48</v>
      </c>
    </row>
    <row r="13" spans="1:11">
      <c r="A13" s="101" t="s">
        <v>871</v>
      </c>
    </row>
    <row r="14" spans="1:11">
      <c r="A14" s="75" t="s">
        <v>751</v>
      </c>
      <c r="B14" s="75" t="s">
        <v>752</v>
      </c>
      <c r="C14" s="151" t="s">
        <v>218</v>
      </c>
      <c r="D14" s="151"/>
    </row>
    <row r="15" spans="1:11">
      <c r="A15" s="121">
        <v>45.397610567982859</v>
      </c>
      <c r="B15" s="124">
        <f>ODD(A15)</f>
        <v>47</v>
      </c>
      <c r="C15" s="155" t="s">
        <v>872</v>
      </c>
      <c r="D15" s="155"/>
    </row>
    <row r="16" spans="1:11">
      <c r="A16" s="121">
        <v>-50.654626487009899</v>
      </c>
      <c r="B16" s="124">
        <f t="shared" ref="B16:B18" si="0">ODD(A16)</f>
        <v>-51</v>
      </c>
      <c r="C16" s="155" t="s">
        <v>873</v>
      </c>
      <c r="D16" s="155"/>
    </row>
    <row r="17" spans="1:4">
      <c r="A17" s="121">
        <v>85.413909259984749</v>
      </c>
      <c r="B17" s="124">
        <f t="shared" si="0"/>
        <v>87</v>
      </c>
      <c r="C17" s="155" t="s">
        <v>874</v>
      </c>
      <c r="D17" s="155"/>
    </row>
    <row r="18" spans="1:4">
      <c r="A18" s="121">
        <v>33.589347121750201</v>
      </c>
      <c r="B18" s="124">
        <f t="shared" si="0"/>
        <v>35</v>
      </c>
      <c r="C18" s="155" t="s">
        <v>875</v>
      </c>
      <c r="D18" s="155"/>
    </row>
    <row r="19" spans="1:4" ht="15.6">
      <c r="A19" s="70"/>
      <c r="B19" s="69"/>
      <c r="C19" s="69"/>
    </row>
    <row r="20" spans="1:4" ht="15.6">
      <c r="A20" s="70" t="s">
        <v>236</v>
      </c>
    </row>
    <row r="21" spans="1:4">
      <c r="A21" s="101" t="s">
        <v>876</v>
      </c>
    </row>
    <row r="22" spans="1:4">
      <c r="A22" s="75" t="s">
        <v>711</v>
      </c>
      <c r="B22" s="75" t="s">
        <v>49</v>
      </c>
    </row>
    <row r="23" spans="1:4">
      <c r="A23" s="74">
        <v>1111.1110000000001</v>
      </c>
      <c r="B23" s="127">
        <f>ODD(A23)</f>
        <v>1113</v>
      </c>
    </row>
    <row r="24" spans="1:4">
      <c r="A24" s="74">
        <v>95.3</v>
      </c>
      <c r="B24" s="127">
        <f t="shared" ref="B24:B26" si="1">ODD(A24)</f>
        <v>97</v>
      </c>
    </row>
    <row r="25" spans="1:4">
      <c r="A25" s="74">
        <v>51.5</v>
      </c>
      <c r="B25" s="127">
        <f t="shared" si="1"/>
        <v>53</v>
      </c>
    </row>
    <row r="26" spans="1:4">
      <c r="A26" s="126">
        <v>-4.6985000000000001</v>
      </c>
      <c r="B26" s="127">
        <f t="shared" si="1"/>
        <v>-5</v>
      </c>
    </row>
    <row r="27" spans="1:4" ht="15.6">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topLeftCell="A4" zoomScale="90" zoomScaleNormal="90" workbookViewId="0">
      <selection activeCell="C26" sqref="C26:C29"/>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190</v>
      </c>
      <c r="B1" s="170"/>
      <c r="C1" s="98"/>
      <c r="D1" s="73"/>
      <c r="E1" s="73"/>
      <c r="F1" s="73"/>
      <c r="G1" s="73"/>
      <c r="H1" s="73"/>
      <c r="I1" s="73"/>
      <c r="J1" s="73"/>
      <c r="K1" s="73"/>
    </row>
    <row r="2" spans="1:11" ht="15" thickTop="1"/>
    <row r="3" spans="1:11" ht="18">
      <c r="A3" s="71" t="s">
        <v>204</v>
      </c>
    </row>
    <row r="4" spans="1:11" ht="15" customHeight="1">
      <c r="A4" s="171" t="s">
        <v>877</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878</v>
      </c>
    </row>
    <row r="9" spans="1:11" ht="15.6">
      <c r="A9" s="70" t="s">
        <v>143</v>
      </c>
    </row>
    <row r="10" spans="1:11">
      <c r="A10" t="s">
        <v>881</v>
      </c>
    </row>
    <row r="12" spans="1:11" ht="15.6">
      <c r="A12" s="70" t="s">
        <v>879</v>
      </c>
    </row>
    <row r="13" spans="1:11">
      <c r="A13" t="s">
        <v>880</v>
      </c>
    </row>
    <row r="15" spans="1:11" ht="15.6">
      <c r="A15" s="70" t="s">
        <v>48</v>
      </c>
    </row>
    <row r="16" spans="1:11">
      <c r="A16" s="101" t="s">
        <v>882</v>
      </c>
    </row>
    <row r="17" spans="1:4">
      <c r="A17" s="75" t="s">
        <v>143</v>
      </c>
      <c r="B17" s="75" t="s">
        <v>879</v>
      </c>
      <c r="C17" s="75" t="s">
        <v>884</v>
      </c>
      <c r="D17" s="75" t="s">
        <v>218</v>
      </c>
    </row>
    <row r="18" spans="1:4">
      <c r="A18" s="74">
        <v>3</v>
      </c>
      <c r="B18" s="74">
        <v>5</v>
      </c>
      <c r="C18" s="74">
        <f>MOD(A18,B18)</f>
        <v>3</v>
      </c>
      <c r="D18" s="74" t="s">
        <v>885</v>
      </c>
    </row>
    <row r="19" spans="1:4">
      <c r="A19" s="74">
        <v>19</v>
      </c>
      <c r="B19" s="74">
        <v>3</v>
      </c>
      <c r="C19" s="74">
        <f>MOD(A19,B19)</f>
        <v>1</v>
      </c>
      <c r="D19" s="74" t="s">
        <v>886</v>
      </c>
    </row>
    <row r="20" spans="1:4">
      <c r="A20" s="74">
        <v>8</v>
      </c>
      <c r="B20" s="74">
        <v>2</v>
      </c>
      <c r="C20" s="74">
        <f>MOD(A20,B20)</f>
        <v>0</v>
      </c>
      <c r="D20" s="74" t="s">
        <v>887</v>
      </c>
    </row>
    <row r="21" spans="1:4">
      <c r="A21" s="74">
        <v>-8.5</v>
      </c>
      <c r="B21" s="74">
        <v>3</v>
      </c>
      <c r="C21" s="74">
        <f>MOD(A21,B21)</f>
        <v>0.5</v>
      </c>
      <c r="D21" s="74" t="s">
        <v>888</v>
      </c>
    </row>
    <row r="22" spans="1:4" ht="15.6">
      <c r="A22" s="70"/>
      <c r="B22" s="69"/>
      <c r="C22" s="69"/>
    </row>
    <row r="23" spans="1:4" ht="15.6">
      <c r="A23" s="70" t="s">
        <v>236</v>
      </c>
    </row>
    <row r="24" spans="1:4">
      <c r="A24" s="101" t="s">
        <v>889</v>
      </c>
    </row>
    <row r="25" spans="1:4">
      <c r="A25" s="75" t="s">
        <v>633</v>
      </c>
      <c r="B25" s="75" t="s">
        <v>883</v>
      </c>
      <c r="C25" s="75" t="s">
        <v>49</v>
      </c>
    </row>
    <row r="26" spans="1:4">
      <c r="A26" s="74">
        <v>5</v>
      </c>
      <c r="B26" s="74">
        <v>6</v>
      </c>
      <c r="C26" s="74">
        <f>MOD(A26,B26)</f>
        <v>5</v>
      </c>
    </row>
    <row r="27" spans="1:4">
      <c r="A27" s="74">
        <v>9</v>
      </c>
      <c r="B27" s="74">
        <v>2</v>
      </c>
      <c r="C27" s="74">
        <f t="shared" ref="C27:C29" si="0">MOD(A27,B27)</f>
        <v>1</v>
      </c>
    </row>
    <row r="28" spans="1:4">
      <c r="A28" s="74">
        <v>8</v>
      </c>
      <c r="B28" s="74">
        <v>5</v>
      </c>
      <c r="C28" s="74">
        <f t="shared" si="0"/>
        <v>3</v>
      </c>
    </row>
    <row r="29" spans="1:4">
      <c r="A29" s="126">
        <v>-4.6985000000000001</v>
      </c>
      <c r="B29" s="74">
        <v>-1</v>
      </c>
      <c r="C29" s="74">
        <f t="shared" si="0"/>
        <v>-0.69850000000000012</v>
      </c>
    </row>
    <row r="30" spans="1:4" ht="15.6">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zoomScale="90" zoomScaleNormal="90" workbookViewId="0">
      <selection activeCell="D23" sqref="D23:D2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191</v>
      </c>
      <c r="B1" s="170"/>
      <c r="C1" s="98"/>
      <c r="D1" s="73"/>
      <c r="E1" s="73"/>
      <c r="F1" s="73"/>
      <c r="G1" s="73"/>
      <c r="H1" s="73"/>
      <c r="I1" s="73"/>
      <c r="J1" s="73"/>
      <c r="K1" s="73"/>
    </row>
    <row r="2" spans="1:11" ht="15" thickTop="1"/>
    <row r="3" spans="1:11" ht="18">
      <c r="A3" s="71" t="s">
        <v>204</v>
      </c>
    </row>
    <row r="4" spans="1:11" ht="15" customHeight="1">
      <c r="A4" s="171" t="s">
        <v>890</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892</v>
      </c>
    </row>
    <row r="9" spans="1:11" ht="15.6">
      <c r="A9" s="70" t="s">
        <v>891</v>
      </c>
    </row>
    <row r="10" spans="1:11">
      <c r="A10" t="s">
        <v>893</v>
      </c>
    </row>
    <row r="12" spans="1:11" ht="15.6">
      <c r="A12" s="70" t="s">
        <v>48</v>
      </c>
    </row>
    <row r="13" spans="1:11">
      <c r="A13" s="101" t="s">
        <v>903</v>
      </c>
    </row>
    <row r="14" spans="1:11">
      <c r="A14" s="75" t="s">
        <v>894</v>
      </c>
      <c r="B14" s="75" t="s">
        <v>895</v>
      </c>
      <c r="C14" s="75" t="s">
        <v>896</v>
      </c>
      <c r="D14" s="75" t="s">
        <v>49</v>
      </c>
      <c r="E14" s="75" t="s">
        <v>218</v>
      </c>
    </row>
    <row r="15" spans="1:11">
      <c r="A15" s="74">
        <v>3</v>
      </c>
      <c r="B15" s="74">
        <v>5</v>
      </c>
      <c r="C15" s="74">
        <v>3</v>
      </c>
      <c r="D15" s="74">
        <f>MIN(A15:C15)</f>
        <v>3</v>
      </c>
      <c r="E15" s="79" t="s">
        <v>899</v>
      </c>
    </row>
    <row r="16" spans="1:11">
      <c r="A16" s="74">
        <v>19</v>
      </c>
      <c r="B16" s="74" t="s">
        <v>307</v>
      </c>
      <c r="C16" s="74">
        <v>1</v>
      </c>
      <c r="D16" s="74">
        <f t="shared" ref="D16:D18" si="0">MIN(A16:C16)</f>
        <v>1</v>
      </c>
      <c r="E16" s="79" t="s">
        <v>900</v>
      </c>
    </row>
    <row r="17" spans="1:5">
      <c r="A17" s="74">
        <v>8</v>
      </c>
      <c r="B17" s="74" t="s">
        <v>897</v>
      </c>
      <c r="C17" s="74" t="s">
        <v>898</v>
      </c>
      <c r="D17" s="74">
        <f t="shared" si="0"/>
        <v>8</v>
      </c>
      <c r="E17" s="79" t="s">
        <v>901</v>
      </c>
    </row>
    <row r="18" spans="1:5">
      <c r="A18" s="74">
        <v>-8.5</v>
      </c>
      <c r="B18" s="74">
        <v>3</v>
      </c>
      <c r="C18" s="74">
        <v>0.5</v>
      </c>
      <c r="D18" s="74">
        <f t="shared" si="0"/>
        <v>-8.5</v>
      </c>
      <c r="E18" s="79" t="s">
        <v>902</v>
      </c>
    </row>
    <row r="19" spans="1:5" ht="15.6">
      <c r="A19" s="70"/>
      <c r="B19" s="69"/>
      <c r="C19" s="69"/>
    </row>
    <row r="20" spans="1:5" ht="15.6">
      <c r="A20" s="70" t="s">
        <v>236</v>
      </c>
    </row>
    <row r="21" spans="1:5">
      <c r="A21" s="101" t="s">
        <v>904</v>
      </c>
    </row>
    <row r="22" spans="1:5">
      <c r="A22" s="75" t="s">
        <v>894</v>
      </c>
      <c r="B22" s="75" t="s">
        <v>895</v>
      </c>
      <c r="C22" s="75" t="s">
        <v>896</v>
      </c>
      <c r="D22" s="75" t="s">
        <v>49</v>
      </c>
    </row>
    <row r="23" spans="1:5">
      <c r="A23" s="74">
        <v>3</v>
      </c>
      <c r="B23" s="74">
        <v>5</v>
      </c>
      <c r="C23" s="74">
        <v>3</v>
      </c>
      <c r="D23" s="74">
        <f>MIN(A23:C23)</f>
        <v>3</v>
      </c>
    </row>
    <row r="24" spans="1:5">
      <c r="A24" s="74">
        <v>19</v>
      </c>
      <c r="B24" s="74" t="s">
        <v>307</v>
      </c>
      <c r="C24" s="74">
        <v>1</v>
      </c>
      <c r="D24" s="74">
        <f t="shared" ref="D24:D26" si="1">MIN(A24:C24)</f>
        <v>1</v>
      </c>
    </row>
    <row r="25" spans="1:5">
      <c r="A25" s="74">
        <v>8</v>
      </c>
      <c r="B25" s="74" t="s">
        <v>897</v>
      </c>
      <c r="C25" s="74" t="s">
        <v>898</v>
      </c>
      <c r="D25" s="74">
        <f t="shared" si="1"/>
        <v>8</v>
      </c>
    </row>
    <row r="26" spans="1:5">
      <c r="A26" s="74">
        <v>-8.5</v>
      </c>
      <c r="B26" s="74">
        <v>3</v>
      </c>
      <c r="C26" s="74">
        <v>0.5</v>
      </c>
      <c r="D26" s="74">
        <f t="shared" si="1"/>
        <v>-8.5</v>
      </c>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4" zoomScale="90" zoomScaleNormal="90" workbookViewId="0">
      <selection activeCell="D23" sqref="D23:D2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192</v>
      </c>
      <c r="B1" s="170"/>
      <c r="C1" s="98"/>
      <c r="D1" s="73"/>
      <c r="E1" s="73"/>
      <c r="F1" s="73"/>
      <c r="G1" s="73"/>
      <c r="H1" s="73"/>
      <c r="I1" s="73"/>
      <c r="J1" s="73"/>
      <c r="K1" s="73"/>
    </row>
    <row r="2" spans="1:11" ht="15" thickTop="1"/>
    <row r="3" spans="1:11" ht="18">
      <c r="A3" s="71" t="s">
        <v>204</v>
      </c>
    </row>
    <row r="4" spans="1:11" ht="15" customHeight="1">
      <c r="A4" s="171" t="s">
        <v>905</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906</v>
      </c>
    </row>
    <row r="9" spans="1:11" ht="15.6">
      <c r="A9" s="70" t="s">
        <v>891</v>
      </c>
    </row>
    <row r="10" spans="1:11">
      <c r="A10" t="s">
        <v>907</v>
      </c>
    </row>
    <row r="12" spans="1:11" ht="15.6">
      <c r="A12" s="70" t="s">
        <v>48</v>
      </c>
    </row>
    <row r="13" spans="1:11">
      <c r="A13" s="101" t="s">
        <v>908</v>
      </c>
    </row>
    <row r="14" spans="1:11">
      <c r="A14" s="75" t="s">
        <v>894</v>
      </c>
      <c r="B14" s="75" t="s">
        <v>895</v>
      </c>
      <c r="C14" s="75" t="s">
        <v>896</v>
      </c>
      <c r="D14" s="75" t="s">
        <v>49</v>
      </c>
      <c r="E14" s="75" t="s">
        <v>218</v>
      </c>
    </row>
    <row r="15" spans="1:11">
      <c r="A15" s="74">
        <v>3</v>
      </c>
      <c r="B15" s="74">
        <v>5</v>
      </c>
      <c r="C15" s="74">
        <v>3</v>
      </c>
      <c r="D15" s="74">
        <f>MAX(A15:C15)</f>
        <v>5</v>
      </c>
      <c r="E15" s="79" t="s">
        <v>909</v>
      </c>
    </row>
    <row r="16" spans="1:11">
      <c r="A16" s="74">
        <v>19</v>
      </c>
      <c r="B16" s="74" t="s">
        <v>307</v>
      </c>
      <c r="C16" s="74">
        <v>1</v>
      </c>
      <c r="D16" s="74">
        <f t="shared" ref="D16:D18" si="0">MAX(A16:C16)</f>
        <v>19</v>
      </c>
      <c r="E16" s="79" t="s">
        <v>910</v>
      </c>
    </row>
    <row r="17" spans="1:5">
      <c r="A17" s="74">
        <v>8</v>
      </c>
      <c r="B17" s="74" t="s">
        <v>897</v>
      </c>
      <c r="C17" s="74" t="s">
        <v>898</v>
      </c>
      <c r="D17" s="74">
        <f t="shared" si="0"/>
        <v>8</v>
      </c>
      <c r="E17" s="79" t="s">
        <v>911</v>
      </c>
    </row>
    <row r="18" spans="1:5">
      <c r="A18" s="74">
        <v>-8.5</v>
      </c>
      <c r="B18" s="74">
        <v>3</v>
      </c>
      <c r="C18" s="74">
        <v>0.5</v>
      </c>
      <c r="D18" s="74">
        <f t="shared" si="0"/>
        <v>3</v>
      </c>
      <c r="E18" s="79" t="s">
        <v>912</v>
      </c>
    </row>
    <row r="19" spans="1:5" ht="15.6">
      <c r="A19" s="70"/>
      <c r="B19" s="69"/>
      <c r="C19" s="69"/>
    </row>
    <row r="20" spans="1:5" ht="15.6">
      <c r="A20" s="70" t="s">
        <v>236</v>
      </c>
    </row>
    <row r="21" spans="1:5">
      <c r="A21" s="101" t="s">
        <v>913</v>
      </c>
    </row>
    <row r="22" spans="1:5">
      <c r="A22" s="75" t="s">
        <v>894</v>
      </c>
      <c r="B22" s="75" t="s">
        <v>895</v>
      </c>
      <c r="C22" s="75" t="s">
        <v>896</v>
      </c>
      <c r="D22" s="75" t="s">
        <v>49</v>
      </c>
    </row>
    <row r="23" spans="1:5">
      <c r="A23" s="74">
        <v>3</v>
      </c>
      <c r="B23" s="74">
        <v>5</v>
      </c>
      <c r="C23" s="74">
        <v>3</v>
      </c>
      <c r="D23" s="74">
        <f>MAX(A23:C23)</f>
        <v>5</v>
      </c>
    </row>
    <row r="24" spans="1:5">
      <c r="A24" s="74">
        <v>19</v>
      </c>
      <c r="B24" s="74" t="s">
        <v>307</v>
      </c>
      <c r="C24" s="74">
        <v>1</v>
      </c>
      <c r="D24" s="74">
        <f t="shared" ref="D24:D26" si="1">MAX(A24:C24)</f>
        <v>19</v>
      </c>
    </row>
    <row r="25" spans="1:5">
      <c r="A25" s="74">
        <v>8</v>
      </c>
      <c r="B25" s="74" t="s">
        <v>897</v>
      </c>
      <c r="C25" s="74" t="s">
        <v>898</v>
      </c>
      <c r="D25" s="74">
        <f t="shared" si="1"/>
        <v>8</v>
      </c>
    </row>
    <row r="26" spans="1:5">
      <c r="A26" s="74">
        <v>-8.5</v>
      </c>
      <c r="B26" s="74">
        <v>3</v>
      </c>
      <c r="C26" s="74">
        <v>0.5</v>
      </c>
      <c r="D26" s="74">
        <f t="shared" si="1"/>
        <v>3</v>
      </c>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activeCell="D23" sqref="D23:D26"/>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193</v>
      </c>
      <c r="B1" s="170"/>
      <c r="C1" s="98"/>
      <c r="D1" s="73"/>
      <c r="E1" s="73"/>
      <c r="F1" s="73"/>
      <c r="G1" s="73"/>
      <c r="H1" s="73"/>
      <c r="I1" s="73"/>
      <c r="J1" s="73"/>
      <c r="K1" s="73"/>
    </row>
    <row r="2" spans="1:11" ht="15" thickTop="1"/>
    <row r="3" spans="1:11" ht="18">
      <c r="A3" s="71" t="s">
        <v>204</v>
      </c>
    </row>
    <row r="4" spans="1:11" ht="15" customHeight="1">
      <c r="A4" s="171" t="s">
        <v>917</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914</v>
      </c>
    </row>
    <row r="9" spans="1:11" ht="15.6">
      <c r="A9" s="70" t="s">
        <v>891</v>
      </c>
    </row>
    <row r="10" spans="1:11">
      <c r="A10" t="s">
        <v>915</v>
      </c>
    </row>
    <row r="12" spans="1:11" ht="15.6">
      <c r="A12" s="70" t="s">
        <v>48</v>
      </c>
    </row>
    <row r="13" spans="1:11">
      <c r="A13" s="101" t="s">
        <v>916</v>
      </c>
    </row>
    <row r="14" spans="1:11">
      <c r="A14" s="75" t="s">
        <v>894</v>
      </c>
      <c r="B14" s="75" t="s">
        <v>895</v>
      </c>
      <c r="C14" s="75" t="s">
        <v>896</v>
      </c>
      <c r="D14" s="75" t="s">
        <v>49</v>
      </c>
      <c r="E14" s="75" t="s">
        <v>218</v>
      </c>
    </row>
    <row r="15" spans="1:11">
      <c r="A15" s="74">
        <v>3</v>
      </c>
      <c r="B15" s="74"/>
      <c r="C15" s="74">
        <v>5</v>
      </c>
      <c r="D15" s="74">
        <f>AVERAGE(A15:C15)</f>
        <v>4</v>
      </c>
      <c r="E15" s="79" t="s">
        <v>909</v>
      </c>
    </row>
    <row r="16" spans="1:11">
      <c r="A16" s="74">
        <v>19</v>
      </c>
      <c r="B16" s="74" t="s">
        <v>307</v>
      </c>
      <c r="C16" s="74">
        <v>1</v>
      </c>
      <c r="D16" s="74">
        <f t="shared" ref="D16:D18" si="0">AVERAGE(A16:C16)</f>
        <v>10</v>
      </c>
      <c r="E16" s="79" t="s">
        <v>910</v>
      </c>
    </row>
    <row r="17" spans="1:5">
      <c r="A17" s="74">
        <v>8</v>
      </c>
      <c r="B17" s="74" t="s">
        <v>897</v>
      </c>
      <c r="C17" s="74" t="s">
        <v>898</v>
      </c>
      <c r="D17" s="74">
        <f t="shared" si="0"/>
        <v>8</v>
      </c>
      <c r="E17" s="79" t="s">
        <v>911</v>
      </c>
    </row>
    <row r="18" spans="1:5">
      <c r="A18" s="74">
        <v>-8.5</v>
      </c>
      <c r="B18" s="74">
        <v>3</v>
      </c>
      <c r="C18" s="74">
        <v>0.5</v>
      </c>
      <c r="D18" s="74">
        <f t="shared" si="0"/>
        <v>-1.6666666666666667</v>
      </c>
      <c r="E18" s="79" t="s">
        <v>912</v>
      </c>
    </row>
    <row r="19" spans="1:5" ht="15.6">
      <c r="A19" s="70"/>
      <c r="B19" s="69"/>
      <c r="C19" s="69"/>
    </row>
    <row r="20" spans="1:5" ht="15.6">
      <c r="A20" s="70" t="s">
        <v>236</v>
      </c>
    </row>
    <row r="21" spans="1:5">
      <c r="A21" s="101" t="s">
        <v>918</v>
      </c>
    </row>
    <row r="22" spans="1:5">
      <c r="A22" s="75" t="s">
        <v>894</v>
      </c>
      <c r="B22" s="75" t="s">
        <v>895</v>
      </c>
      <c r="C22" s="75" t="s">
        <v>896</v>
      </c>
      <c r="D22" s="75" t="s">
        <v>49</v>
      </c>
    </row>
    <row r="23" spans="1:5">
      <c r="A23" s="74">
        <v>3</v>
      </c>
      <c r="B23" s="74">
        <v>5</v>
      </c>
      <c r="C23" s="74">
        <v>3</v>
      </c>
      <c r="D23" s="74">
        <f>AVERAGE(A23:C23)</f>
        <v>3.6666666666666665</v>
      </c>
    </row>
    <row r="24" spans="1:5">
      <c r="A24" s="74">
        <v>19</v>
      </c>
      <c r="B24" s="74" t="s">
        <v>307</v>
      </c>
      <c r="C24" s="74">
        <v>1</v>
      </c>
      <c r="D24" s="74">
        <f t="shared" ref="D24:D26" si="1">AVERAGE(A24:C24)</f>
        <v>10</v>
      </c>
    </row>
    <row r="25" spans="1:5">
      <c r="A25" s="74">
        <v>8</v>
      </c>
      <c r="B25" s="74" t="s">
        <v>897</v>
      </c>
      <c r="C25" s="74" t="s">
        <v>898</v>
      </c>
      <c r="D25" s="74">
        <f t="shared" si="1"/>
        <v>8</v>
      </c>
    </row>
    <row r="26" spans="1:5">
      <c r="A26" s="74">
        <v>1.5</v>
      </c>
      <c r="B26" s="74"/>
      <c r="C26" s="74">
        <v>4.5</v>
      </c>
      <c r="D26" s="74">
        <f t="shared" si="1"/>
        <v>3</v>
      </c>
    </row>
    <row r="27" spans="1:5" ht="15.6">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topLeftCell="A4" zoomScale="90" zoomScaleNormal="90" workbookViewId="0">
      <selection activeCell="A23" sqref="A23:E29"/>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194</v>
      </c>
      <c r="B1" s="170"/>
      <c r="C1" s="98"/>
      <c r="D1" s="73"/>
      <c r="E1" s="73"/>
      <c r="F1" s="73"/>
      <c r="G1" s="73"/>
      <c r="H1" s="73"/>
      <c r="I1" s="73"/>
      <c r="J1" s="73"/>
      <c r="K1" s="73"/>
    </row>
    <row r="2" spans="1:11" ht="15" thickTop="1"/>
    <row r="3" spans="1:11" ht="18">
      <c r="A3" s="71" t="s">
        <v>204</v>
      </c>
    </row>
    <row r="4" spans="1:11" ht="15" customHeight="1">
      <c r="A4" s="171" t="s">
        <v>919</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920</v>
      </c>
    </row>
    <row r="9" spans="1:11" ht="15.6">
      <c r="A9" s="70" t="s">
        <v>921</v>
      </c>
    </row>
    <row r="10" spans="1:11">
      <c r="A10" t="s">
        <v>922</v>
      </c>
    </row>
    <row r="12" spans="1:11" ht="15.6">
      <c r="A12" s="70" t="s">
        <v>924</v>
      </c>
    </row>
    <row r="13" spans="1:11">
      <c r="A13" t="s">
        <v>923</v>
      </c>
    </row>
    <row r="15" spans="1:11" ht="15.6">
      <c r="A15" s="70" t="s">
        <v>48</v>
      </c>
    </row>
    <row r="16" spans="1:11">
      <c r="A16" s="101" t="s">
        <v>930</v>
      </c>
    </row>
    <row r="17" spans="1:7" s="138" customFormat="1" ht="28.8">
      <c r="A17" s="158" t="s">
        <v>925</v>
      </c>
      <c r="B17" s="159"/>
      <c r="C17" s="160"/>
      <c r="D17" s="78" t="s">
        <v>924</v>
      </c>
      <c r="E17" s="78" t="s">
        <v>49</v>
      </c>
      <c r="F17" s="157" t="s">
        <v>218</v>
      </c>
      <c r="G17" s="157"/>
    </row>
    <row r="18" spans="1:7">
      <c r="A18" s="74">
        <v>3</v>
      </c>
      <c r="B18" s="74">
        <v>1</v>
      </c>
      <c r="C18" s="74">
        <v>5</v>
      </c>
      <c r="D18" s="74">
        <v>1</v>
      </c>
      <c r="E18" s="74">
        <f>SMALL(A18:C21,D18)</f>
        <v>-8.5</v>
      </c>
      <c r="F18" s="155" t="s">
        <v>926</v>
      </c>
      <c r="G18" s="155"/>
    </row>
    <row r="19" spans="1:7">
      <c r="A19" s="74">
        <v>19</v>
      </c>
      <c r="B19" s="74">
        <v>50</v>
      </c>
      <c r="C19" s="74">
        <v>1</v>
      </c>
      <c r="D19" s="74">
        <v>5</v>
      </c>
      <c r="E19" s="74">
        <f>SMALL(A18:C21,D19)</f>
        <v>3</v>
      </c>
      <c r="F19" s="155" t="s">
        <v>927</v>
      </c>
      <c r="G19" s="155"/>
    </row>
    <row r="20" spans="1:7">
      <c r="A20" s="74">
        <v>8</v>
      </c>
      <c r="B20" s="74">
        <v>12</v>
      </c>
      <c r="C20" s="74">
        <v>20</v>
      </c>
      <c r="D20" s="74">
        <v>4</v>
      </c>
      <c r="E20" s="74">
        <f>SMALL(A18:C21,D20)</f>
        <v>1</v>
      </c>
      <c r="F20" s="155" t="s">
        <v>928</v>
      </c>
      <c r="G20" s="155"/>
    </row>
    <row r="21" spans="1:7">
      <c r="A21" s="74">
        <v>-8.5</v>
      </c>
      <c r="B21" s="74">
        <v>3</v>
      </c>
      <c r="C21" s="74">
        <v>0.5</v>
      </c>
      <c r="D21" s="74">
        <v>12</v>
      </c>
      <c r="E21" s="74">
        <f>SMALL(A18:C21,D21)</f>
        <v>50</v>
      </c>
      <c r="F21" s="155" t="s">
        <v>929</v>
      </c>
      <c r="G21" s="155"/>
    </row>
    <row r="22" spans="1:7" ht="15.6">
      <c r="A22" s="70"/>
      <c r="B22" s="69"/>
      <c r="C22" s="69"/>
    </row>
    <row r="23" spans="1:7" ht="15.6">
      <c r="A23" s="70" t="s">
        <v>236</v>
      </c>
    </row>
    <row r="24" spans="1:7">
      <c r="A24" s="101" t="s">
        <v>931</v>
      </c>
    </row>
    <row r="25" spans="1:7" ht="28.8">
      <c r="A25" s="158" t="s">
        <v>925</v>
      </c>
      <c r="B25" s="159"/>
      <c r="C25" s="160"/>
      <c r="D25" s="78" t="s">
        <v>924</v>
      </c>
      <c r="E25" s="78" t="s">
        <v>49</v>
      </c>
    </row>
    <row r="26" spans="1:7">
      <c r="A26" s="74">
        <v>3</v>
      </c>
      <c r="B26" s="74">
        <v>5</v>
      </c>
      <c r="C26" s="74">
        <v>3</v>
      </c>
      <c r="D26" s="74">
        <v>1</v>
      </c>
      <c r="E26" s="74">
        <f>SMALL(A26:C26,D26)</f>
        <v>3</v>
      </c>
    </row>
    <row r="27" spans="1:7">
      <c r="A27" s="74">
        <v>19</v>
      </c>
      <c r="B27" s="74">
        <v>2</v>
      </c>
      <c r="C27" s="74">
        <v>1</v>
      </c>
      <c r="D27" s="74">
        <v>2</v>
      </c>
      <c r="E27" s="74">
        <f t="shared" ref="E27:E29" si="0">SMALL(A27:C27,D27)</f>
        <v>2</v>
      </c>
    </row>
    <row r="28" spans="1:7">
      <c r="A28" s="74">
        <v>8</v>
      </c>
      <c r="B28" s="74">
        <v>5</v>
      </c>
      <c r="C28" s="74">
        <v>3</v>
      </c>
      <c r="D28" s="74">
        <v>3</v>
      </c>
      <c r="E28" s="74">
        <f t="shared" si="0"/>
        <v>8</v>
      </c>
    </row>
    <row r="29" spans="1:7">
      <c r="A29" s="74">
        <v>1.5</v>
      </c>
      <c r="B29" s="74">
        <v>1</v>
      </c>
      <c r="C29" s="74">
        <v>4.5</v>
      </c>
      <c r="D29" s="74">
        <v>4</v>
      </c>
      <c r="E29" s="74" t="e">
        <f t="shared" si="0"/>
        <v>#NUM!</v>
      </c>
    </row>
    <row r="30" spans="1:7" ht="15.6">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topLeftCell="A7" zoomScale="90" zoomScaleNormal="90" workbookViewId="0">
      <selection activeCell="E26" sqref="E26:E29"/>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195</v>
      </c>
      <c r="B1" s="170"/>
      <c r="C1" s="98"/>
      <c r="D1" s="73"/>
      <c r="E1" s="73"/>
      <c r="F1" s="73"/>
      <c r="G1" s="73"/>
      <c r="H1" s="73"/>
      <c r="I1" s="73"/>
      <c r="J1" s="73"/>
      <c r="K1" s="73"/>
    </row>
    <row r="2" spans="1:11" ht="15" thickTop="1"/>
    <row r="3" spans="1:11" ht="18">
      <c r="A3" s="71" t="s">
        <v>204</v>
      </c>
    </row>
    <row r="4" spans="1:11" ht="15" customHeight="1">
      <c r="A4" s="171" t="s">
        <v>932</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933</v>
      </c>
    </row>
    <row r="9" spans="1:11" ht="15.6">
      <c r="A9" s="70" t="s">
        <v>921</v>
      </c>
    </row>
    <row r="10" spans="1:11">
      <c r="A10" t="s">
        <v>934</v>
      </c>
    </row>
    <row r="12" spans="1:11" ht="15.6">
      <c r="A12" s="70" t="s">
        <v>935</v>
      </c>
    </row>
    <row r="13" spans="1:11">
      <c r="A13" t="s">
        <v>936</v>
      </c>
    </row>
    <row r="15" spans="1:11" ht="15.6">
      <c r="A15" s="70" t="s">
        <v>48</v>
      </c>
    </row>
    <row r="16" spans="1:11">
      <c r="A16" s="101" t="s">
        <v>930</v>
      </c>
    </row>
    <row r="17" spans="1:7" s="138" customFormat="1" ht="28.8">
      <c r="A17" s="158" t="s">
        <v>925</v>
      </c>
      <c r="B17" s="159"/>
      <c r="C17" s="160"/>
      <c r="D17" s="78" t="s">
        <v>935</v>
      </c>
      <c r="E17" s="78" t="s">
        <v>49</v>
      </c>
      <c r="F17" s="157" t="s">
        <v>218</v>
      </c>
      <c r="G17" s="157"/>
    </row>
    <row r="18" spans="1:7">
      <c r="A18" s="74">
        <v>3</v>
      </c>
      <c r="B18" s="74">
        <v>1</v>
      </c>
      <c r="C18" s="74">
        <v>5</v>
      </c>
      <c r="D18" s="74">
        <v>1</v>
      </c>
      <c r="E18" s="74">
        <f>LARGE(A18:C21,D18)</f>
        <v>50</v>
      </c>
      <c r="F18" s="155" t="s">
        <v>937</v>
      </c>
      <c r="G18" s="155"/>
    </row>
    <row r="19" spans="1:7">
      <c r="A19" s="74">
        <v>19</v>
      </c>
      <c r="B19" s="74">
        <v>50</v>
      </c>
      <c r="C19" s="74">
        <v>1</v>
      </c>
      <c r="D19" s="74">
        <v>5</v>
      </c>
      <c r="E19" s="74">
        <f>LARGE(A18:C21,D19)</f>
        <v>8</v>
      </c>
      <c r="F19" s="155" t="s">
        <v>938</v>
      </c>
      <c r="G19" s="155"/>
    </row>
    <row r="20" spans="1:7">
      <c r="A20" s="74">
        <v>8</v>
      </c>
      <c r="B20" s="74">
        <v>12</v>
      </c>
      <c r="C20" s="74">
        <v>20</v>
      </c>
      <c r="D20" s="74">
        <v>4</v>
      </c>
      <c r="E20" s="74">
        <f>LARGE(A18:C21,D20)</f>
        <v>12</v>
      </c>
      <c r="F20" s="155" t="s">
        <v>939</v>
      </c>
      <c r="G20" s="155"/>
    </row>
    <row r="21" spans="1:7">
      <c r="A21" s="74">
        <v>-8.5</v>
      </c>
      <c r="B21" s="74">
        <v>3</v>
      </c>
      <c r="C21" s="74">
        <v>0.5</v>
      </c>
      <c r="D21" s="74">
        <v>12</v>
      </c>
      <c r="E21" s="74">
        <f>LARGE(A18:C21,D21)</f>
        <v>-8.5</v>
      </c>
      <c r="F21" s="155" t="s">
        <v>940</v>
      </c>
      <c r="G21" s="155"/>
    </row>
    <row r="22" spans="1:7" ht="15.6">
      <c r="A22" s="70"/>
      <c r="B22" s="69"/>
      <c r="C22" s="69"/>
    </row>
    <row r="23" spans="1:7" ht="15.6">
      <c r="A23" s="70" t="s">
        <v>236</v>
      </c>
    </row>
    <row r="24" spans="1:7">
      <c r="A24" s="101" t="s">
        <v>941</v>
      </c>
    </row>
    <row r="25" spans="1:7" ht="28.8">
      <c r="A25" s="158" t="s">
        <v>925</v>
      </c>
      <c r="B25" s="159"/>
      <c r="C25" s="160"/>
      <c r="D25" s="78" t="s">
        <v>935</v>
      </c>
      <c r="E25" s="78" t="s">
        <v>49</v>
      </c>
    </row>
    <row r="26" spans="1:7">
      <c r="A26" s="74">
        <v>3</v>
      </c>
      <c r="B26" s="74">
        <v>5</v>
      </c>
      <c r="C26" s="74">
        <v>3</v>
      </c>
      <c r="D26" s="74">
        <v>1</v>
      </c>
      <c r="E26" s="74">
        <f>LARGE(A26:C26,D26)</f>
        <v>5</v>
      </c>
    </row>
    <row r="27" spans="1:7">
      <c r="A27" s="74">
        <v>19</v>
      </c>
      <c r="B27" s="74">
        <v>2</v>
      </c>
      <c r="C27" s="74">
        <v>1</v>
      </c>
      <c r="D27" s="74">
        <v>2</v>
      </c>
      <c r="E27" s="74">
        <f t="shared" ref="E27:E29" si="0">LARGE(A27:C27,D27)</f>
        <v>2</v>
      </c>
    </row>
    <row r="28" spans="1:7">
      <c r="A28" s="74">
        <v>8</v>
      </c>
      <c r="B28" s="74">
        <v>5</v>
      </c>
      <c r="C28" s="74">
        <v>3</v>
      </c>
      <c r="D28" s="74">
        <v>3</v>
      </c>
      <c r="E28" s="74">
        <f t="shared" si="0"/>
        <v>3</v>
      </c>
    </row>
    <row r="29" spans="1:7">
      <c r="A29" s="74">
        <v>1.5</v>
      </c>
      <c r="B29" s="74">
        <v>1</v>
      </c>
      <c r="C29" s="74">
        <v>4.5</v>
      </c>
      <c r="D29" s="74">
        <v>4</v>
      </c>
      <c r="E29" s="74" t="e">
        <f t="shared" si="0"/>
        <v>#NUM!</v>
      </c>
    </row>
    <row r="30" spans="1:7" ht="15.6">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topLeftCell="A13" zoomScale="90" zoomScaleNormal="90" workbookViewId="0">
      <selection activeCell="D34" sqref="D34:D37"/>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0.109375" customWidth="1"/>
    <col min="9" max="9" width="12.109375" customWidth="1"/>
    <col min="10" max="10" width="11.33203125" customWidth="1"/>
    <col min="11" max="11" width="10.109375" customWidth="1"/>
  </cols>
  <sheetData>
    <row r="1" spans="1:11" ht="31.8" thickBot="1">
      <c r="A1" s="170" t="s">
        <v>196</v>
      </c>
      <c r="B1" s="170"/>
      <c r="C1" s="98"/>
      <c r="D1" s="73"/>
      <c r="E1" s="73"/>
      <c r="F1" s="73"/>
      <c r="G1" s="73"/>
      <c r="H1" s="73"/>
      <c r="I1" s="73"/>
      <c r="J1" s="73"/>
      <c r="K1" s="73"/>
    </row>
    <row r="2" spans="1:11" ht="15" thickTop="1"/>
    <row r="3" spans="1:11" ht="18">
      <c r="A3" s="71" t="s">
        <v>204</v>
      </c>
    </row>
    <row r="4" spans="1:11" ht="15" customHeight="1">
      <c r="A4" s="171" t="s">
        <v>942</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943</v>
      </c>
    </row>
    <row r="9" spans="1:11" ht="15.6">
      <c r="A9" s="70" t="s">
        <v>944</v>
      </c>
    </row>
    <row r="10" spans="1:11">
      <c r="A10" t="s">
        <v>945</v>
      </c>
    </row>
    <row r="12" spans="1:11" ht="15.6">
      <c r="A12" s="70" t="s">
        <v>946</v>
      </c>
    </row>
    <row r="13" spans="1:11">
      <c r="A13" t="s">
        <v>947</v>
      </c>
    </row>
    <row r="15" spans="1:11" ht="15.6">
      <c r="A15" s="70" t="s">
        <v>48</v>
      </c>
    </row>
    <row r="16" spans="1:11">
      <c r="A16" s="101" t="s">
        <v>948</v>
      </c>
    </row>
    <row r="17" spans="1:6" s="138" customFormat="1" ht="15" customHeight="1">
      <c r="A17" s="158" t="s">
        <v>954</v>
      </c>
      <c r="B17" s="159"/>
      <c r="C17" s="160"/>
      <c r="D17" s="78" t="s">
        <v>49</v>
      </c>
      <c r="E17" s="157" t="s">
        <v>218</v>
      </c>
      <c r="F17" s="157"/>
    </row>
    <row r="18" spans="1:6">
      <c r="A18" s="74">
        <v>3</v>
      </c>
      <c r="B18" s="74">
        <v>1</v>
      </c>
      <c r="C18" s="74">
        <v>5</v>
      </c>
      <c r="D18" s="74">
        <f>COUNT(A18:C18)</f>
        <v>3</v>
      </c>
      <c r="E18" s="155" t="s">
        <v>950</v>
      </c>
      <c r="F18" s="155"/>
    </row>
    <row r="19" spans="1:6">
      <c r="A19" s="74">
        <v>19</v>
      </c>
      <c r="B19" s="74" t="s">
        <v>2</v>
      </c>
      <c r="C19" s="74">
        <v>1</v>
      </c>
      <c r="D19" s="74">
        <f t="shared" ref="D19:D21" si="0">COUNT(A19:C19)</f>
        <v>2</v>
      </c>
      <c r="E19" s="155" t="s">
        <v>951</v>
      </c>
      <c r="F19" s="155"/>
    </row>
    <row r="20" spans="1:6">
      <c r="A20" s="74">
        <v>8</v>
      </c>
      <c r="B20" s="74" t="s">
        <v>949</v>
      </c>
      <c r="C20" s="74">
        <v>20</v>
      </c>
      <c r="D20" s="74">
        <f t="shared" si="0"/>
        <v>2</v>
      </c>
      <c r="E20" s="155" t="s">
        <v>952</v>
      </c>
      <c r="F20" s="155"/>
    </row>
    <row r="21" spans="1:6">
      <c r="A21" s="74">
        <v>-8.5</v>
      </c>
      <c r="B21" s="74" t="s">
        <v>949</v>
      </c>
      <c r="C21" s="74" t="s">
        <v>3</v>
      </c>
      <c r="D21" s="74">
        <f t="shared" si="0"/>
        <v>1</v>
      </c>
      <c r="E21" s="155" t="s">
        <v>953</v>
      </c>
      <c r="F21" s="155"/>
    </row>
    <row r="22" spans="1:6" ht="15.6">
      <c r="A22" s="70"/>
      <c r="B22" s="69"/>
      <c r="C22" s="69"/>
    </row>
    <row r="23" spans="1:6" ht="15.6">
      <c r="A23" s="70" t="s">
        <v>455</v>
      </c>
    </row>
    <row r="24" spans="1:6">
      <c r="A24" s="101" t="s">
        <v>948</v>
      </c>
    </row>
    <row r="25" spans="1:6">
      <c r="A25" s="158" t="s">
        <v>954</v>
      </c>
      <c r="B25" s="159"/>
      <c r="C25" s="160"/>
      <c r="D25" s="78" t="s">
        <v>49</v>
      </c>
    </row>
    <row r="26" spans="1:6">
      <c r="A26" s="74">
        <v>3</v>
      </c>
      <c r="B26" s="74"/>
      <c r="C26" s="74">
        <v>3</v>
      </c>
      <c r="D26" s="74">
        <f>COUNT(A26:C26)</f>
        <v>2</v>
      </c>
    </row>
    <row r="27" spans="1:6">
      <c r="A27" s="74" t="s">
        <v>897</v>
      </c>
      <c r="B27" s="74">
        <v>2</v>
      </c>
      <c r="C27" s="74">
        <v>1</v>
      </c>
      <c r="D27" s="74">
        <f t="shared" ref="D27:D29" si="1">COUNT(A27:C27)</f>
        <v>2</v>
      </c>
    </row>
    <row r="28" spans="1:6">
      <c r="A28" s="74" t="s">
        <v>898</v>
      </c>
      <c r="B28" s="74">
        <v>5</v>
      </c>
      <c r="C28" s="74">
        <v>3</v>
      </c>
      <c r="D28" s="74">
        <f t="shared" si="1"/>
        <v>2</v>
      </c>
    </row>
    <row r="29" spans="1:6">
      <c r="A29" s="74">
        <v>1.5</v>
      </c>
      <c r="B29" s="74">
        <v>1</v>
      </c>
      <c r="C29" s="74">
        <v>4.5</v>
      </c>
      <c r="D29" s="74">
        <f t="shared" si="1"/>
        <v>3</v>
      </c>
    </row>
    <row r="30" spans="1:6" ht="15.6">
      <c r="A30" s="70"/>
      <c r="B30" s="69"/>
      <c r="C30" s="69"/>
    </row>
    <row r="31" spans="1:6" ht="15.6">
      <c r="A31" s="70" t="s">
        <v>456</v>
      </c>
    </row>
    <row r="32" spans="1:6">
      <c r="A32" s="139" t="s">
        <v>955</v>
      </c>
    </row>
    <row r="33" spans="1:4">
      <c r="A33" s="158" t="s">
        <v>954</v>
      </c>
      <c r="B33" s="159"/>
      <c r="C33" s="160"/>
      <c r="D33" s="78" t="s">
        <v>49</v>
      </c>
    </row>
    <row r="34" spans="1:4">
      <c r="A34" s="74">
        <v>3</v>
      </c>
      <c r="B34" s="74"/>
      <c r="C34" s="74">
        <v>3</v>
      </c>
      <c r="D34" s="74" t="str">
        <f>IF(COUNT(A34:C34) &gt;=2, "Y","N")</f>
        <v>Y</v>
      </c>
    </row>
    <row r="35" spans="1:4">
      <c r="A35" s="74" t="s">
        <v>897</v>
      </c>
      <c r="B35" s="74">
        <v>2</v>
      </c>
      <c r="C35" s="74">
        <v>1</v>
      </c>
      <c r="D35" s="74" t="str">
        <f t="shared" ref="D35:D37" si="2">IF(COUNT(A35:C35) &gt;=2, "Y","N")</f>
        <v>Y</v>
      </c>
    </row>
    <row r="36" spans="1:4">
      <c r="A36" s="74" t="s">
        <v>898</v>
      </c>
      <c r="B36" s="74">
        <v>5</v>
      </c>
      <c r="C36" s="74">
        <v>3</v>
      </c>
      <c r="D36" s="74" t="str">
        <f t="shared" si="2"/>
        <v>Y</v>
      </c>
    </row>
    <row r="37" spans="1:4">
      <c r="A37" s="74">
        <v>1.5</v>
      </c>
      <c r="B37" s="74"/>
      <c r="C37" s="74" t="s">
        <v>5</v>
      </c>
      <c r="D37" s="74" t="str">
        <f t="shared" si="2"/>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topLeftCell="A19" zoomScale="90" zoomScaleNormal="90" workbookViewId="0">
      <selection activeCell="F30" sqref="F3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0" t="s">
        <v>197</v>
      </c>
      <c r="B1" s="170"/>
      <c r="C1" s="98"/>
      <c r="D1" s="73"/>
      <c r="E1" s="73"/>
      <c r="F1" s="73"/>
      <c r="G1" s="73"/>
      <c r="H1" s="73"/>
      <c r="I1" s="73"/>
      <c r="J1" s="73"/>
      <c r="K1" s="73"/>
    </row>
    <row r="2" spans="1:11" ht="15" thickTop="1"/>
    <row r="3" spans="1:11" ht="18">
      <c r="A3" s="71" t="s">
        <v>204</v>
      </c>
    </row>
    <row r="4" spans="1:11" ht="15" customHeight="1">
      <c r="A4" s="171" t="s">
        <v>956</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957</v>
      </c>
    </row>
    <row r="9" spans="1:11" ht="15.6">
      <c r="A9" s="70" t="s">
        <v>680</v>
      </c>
    </row>
    <row r="10" spans="1:11">
      <c r="A10" t="s">
        <v>958</v>
      </c>
    </row>
    <row r="12" spans="1:11" ht="15.6">
      <c r="A12" s="70" t="s">
        <v>682</v>
      </c>
    </row>
    <row r="13" spans="1:11">
      <c r="A13" t="s">
        <v>959</v>
      </c>
    </row>
    <row r="15" spans="1:11" ht="15.6">
      <c r="A15" s="70" t="s">
        <v>48</v>
      </c>
    </row>
    <row r="16" spans="1:11">
      <c r="A16" s="101" t="s">
        <v>960</v>
      </c>
    </row>
    <row r="17" spans="1:8" s="138" customFormat="1" ht="15" customHeight="1">
      <c r="A17" s="78" t="s">
        <v>305</v>
      </c>
      <c r="B17" s="78" t="s">
        <v>306</v>
      </c>
      <c r="C17" s="78" t="s">
        <v>638</v>
      </c>
      <c r="D17" s="78" t="s">
        <v>655</v>
      </c>
      <c r="E17" s="140" t="s">
        <v>656</v>
      </c>
      <c r="F17" s="140" t="s">
        <v>49</v>
      </c>
      <c r="G17" s="157" t="s">
        <v>218</v>
      </c>
      <c r="H17" s="157"/>
    </row>
    <row r="18" spans="1:8" ht="15" customHeight="1">
      <c r="A18" s="74">
        <v>3</v>
      </c>
      <c r="B18" s="74">
        <v>1</v>
      </c>
      <c r="C18" s="74">
        <v>5</v>
      </c>
      <c r="D18" s="74">
        <v>3</v>
      </c>
      <c r="E18" s="136" t="s">
        <v>961</v>
      </c>
      <c r="F18" s="136">
        <f>COUNTIF(A18:D18,"&gt;1")</f>
        <v>3</v>
      </c>
      <c r="G18" s="155" t="s">
        <v>965</v>
      </c>
      <c r="H18" s="155"/>
    </row>
    <row r="19" spans="1:8" ht="15" customHeight="1">
      <c r="A19" s="74">
        <v>19</v>
      </c>
      <c r="B19" s="74" t="s">
        <v>2</v>
      </c>
      <c r="C19" s="74"/>
      <c r="D19" s="74">
        <v>0</v>
      </c>
      <c r="E19" s="136" t="s">
        <v>962</v>
      </c>
      <c r="F19" s="136">
        <f>COUNTIF(A19:D19,"=0")</f>
        <v>1</v>
      </c>
      <c r="G19" s="155" t="s">
        <v>966</v>
      </c>
      <c r="H19" s="155"/>
    </row>
    <row r="20" spans="1:8" ht="15" customHeight="1">
      <c r="A20" s="74">
        <v>8</v>
      </c>
      <c r="B20" s="74" t="s">
        <v>5</v>
      </c>
      <c r="C20" s="74">
        <v>20</v>
      </c>
      <c r="D20" s="74">
        <v>2</v>
      </c>
      <c r="E20" s="136" t="s">
        <v>963</v>
      </c>
      <c r="F20" s="136">
        <f>COUNTIF(A20:D20,"&gt;=2")</f>
        <v>3</v>
      </c>
      <c r="G20" s="155" t="s">
        <v>967</v>
      </c>
      <c r="H20" s="155"/>
    </row>
    <row r="21" spans="1:8" ht="15" customHeight="1">
      <c r="A21" s="74">
        <v>-8.5</v>
      </c>
      <c r="B21" s="74">
        <v>0</v>
      </c>
      <c r="C21" s="74" t="s">
        <v>3</v>
      </c>
      <c r="D21" s="74">
        <v>-1</v>
      </c>
      <c r="E21" s="136" t="s">
        <v>964</v>
      </c>
      <c r="F21" s="136">
        <f>COUNTIF(A21:D21,"&lt;0")</f>
        <v>2</v>
      </c>
      <c r="G21" s="155" t="s">
        <v>968</v>
      </c>
      <c r="H21" s="155"/>
    </row>
    <row r="22" spans="1:8" ht="15.6">
      <c r="A22" s="70"/>
      <c r="B22" s="69"/>
      <c r="C22" s="69"/>
    </row>
    <row r="23" spans="1:8" ht="15.6">
      <c r="A23" s="70" t="s">
        <v>236</v>
      </c>
    </row>
    <row r="24" spans="1:8">
      <c r="A24" s="101" t="s">
        <v>960</v>
      </c>
    </row>
    <row r="25" spans="1:8" ht="15" customHeight="1">
      <c r="A25" s="78" t="s">
        <v>305</v>
      </c>
      <c r="B25" s="78" t="s">
        <v>306</v>
      </c>
      <c r="C25" s="78" t="s">
        <v>638</v>
      </c>
      <c r="D25" s="78" t="s">
        <v>655</v>
      </c>
      <c r="E25" s="140" t="s">
        <v>656</v>
      </c>
      <c r="F25" s="78" t="s">
        <v>49</v>
      </c>
    </row>
    <row r="26" spans="1:8">
      <c r="A26" s="74">
        <v>1</v>
      </c>
      <c r="B26" s="74">
        <v>-1</v>
      </c>
      <c r="C26" s="74">
        <v>5</v>
      </c>
      <c r="D26" s="74">
        <v>3</v>
      </c>
      <c r="E26" s="136" t="s">
        <v>969</v>
      </c>
      <c r="F26" s="74">
        <f>COUNTIF(A26:D26, "&gt;2")</f>
        <v>2</v>
      </c>
    </row>
    <row r="27" spans="1:8">
      <c r="A27" s="74">
        <v>19</v>
      </c>
      <c r="B27" s="74" t="s">
        <v>2</v>
      </c>
      <c r="C27" s="74"/>
      <c r="D27" s="74">
        <v>0</v>
      </c>
      <c r="E27" s="136" t="s">
        <v>970</v>
      </c>
      <c r="F27" s="74">
        <f>COUNTIF(A27:D27, "&gt;=0")</f>
        <v>2</v>
      </c>
    </row>
    <row r="28" spans="1:8">
      <c r="A28" s="74">
        <v>8</v>
      </c>
      <c r="B28" s="74">
        <v>-50</v>
      </c>
      <c r="C28" s="74">
        <v>20</v>
      </c>
      <c r="D28" s="74">
        <v>2</v>
      </c>
      <c r="E28" s="136" t="s">
        <v>971</v>
      </c>
      <c r="F28" s="74">
        <f>COUNTIF(A28:D28, "&gt;=20")</f>
        <v>1</v>
      </c>
    </row>
    <row r="29" spans="1:8">
      <c r="A29" s="74">
        <v>-8.5</v>
      </c>
      <c r="B29" s="74">
        <v>0</v>
      </c>
      <c r="C29" s="74"/>
      <c r="D29" s="74">
        <v>-1</v>
      </c>
      <c r="E29" s="136" t="s">
        <v>972</v>
      </c>
      <c r="F29" s="74">
        <f>COUNTIF(A29:D29, "&lt;=0")</f>
        <v>3</v>
      </c>
    </row>
    <row r="30" spans="1:8" ht="15.6">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topLeftCell="A4" zoomScale="90" zoomScaleNormal="90" workbookViewId="0">
      <selection activeCell="E24" sqref="E24:E27"/>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0" t="s">
        <v>973</v>
      </c>
      <c r="B1" s="170"/>
      <c r="C1" s="98"/>
      <c r="D1" s="73"/>
      <c r="E1" s="73"/>
      <c r="F1" s="73"/>
      <c r="G1" s="73"/>
      <c r="H1" s="73"/>
      <c r="I1" s="73"/>
      <c r="J1" s="73"/>
      <c r="K1" s="73"/>
    </row>
    <row r="2" spans="1:11" ht="15" thickTop="1"/>
    <row r="3" spans="1:11" ht="18">
      <c r="A3" s="71" t="s">
        <v>204</v>
      </c>
    </row>
    <row r="4" spans="1:11" ht="15" customHeight="1">
      <c r="A4" s="171" t="s">
        <v>984</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
      <c r="A7" s="71" t="s">
        <v>24</v>
      </c>
    </row>
    <row r="8" spans="1:11" ht="15.6">
      <c r="A8" s="76" t="s">
        <v>974</v>
      </c>
    </row>
    <row r="10" spans="1:11" ht="15.6">
      <c r="A10" s="70" t="s">
        <v>975</v>
      </c>
    </row>
    <row r="11" spans="1:11">
      <c r="A11" t="s">
        <v>976</v>
      </c>
    </row>
    <row r="13" spans="1:11" ht="15.6">
      <c r="A13" s="70" t="s">
        <v>48</v>
      </c>
    </row>
    <row r="14" spans="1:11">
      <c r="A14" s="101" t="s">
        <v>977</v>
      </c>
    </row>
    <row r="15" spans="1:11" s="138" customFormat="1" ht="15" customHeight="1">
      <c r="A15" s="158" t="s">
        <v>978</v>
      </c>
      <c r="B15" s="159"/>
      <c r="C15" s="159"/>
      <c r="D15" s="160"/>
      <c r="E15" s="140" t="s">
        <v>979</v>
      </c>
      <c r="F15" s="157" t="s">
        <v>218</v>
      </c>
      <c r="G15" s="157"/>
    </row>
    <row r="16" spans="1:11" ht="15" customHeight="1">
      <c r="A16" s="74">
        <v>42</v>
      </c>
      <c r="B16" s="74">
        <v>45</v>
      </c>
      <c r="C16" s="74">
        <v>20</v>
      </c>
      <c r="D16" s="74">
        <v>22</v>
      </c>
      <c r="E16" s="136">
        <f>_xlfn.STDEV.S(A16:D16)</f>
        <v>13.073510112692254</v>
      </c>
      <c r="F16" s="155" t="s">
        <v>980</v>
      </c>
      <c r="G16" s="155"/>
    </row>
    <row r="17" spans="1:7" ht="15" customHeight="1">
      <c r="A17" s="74">
        <v>27</v>
      </c>
      <c r="B17" s="74">
        <v>10</v>
      </c>
      <c r="C17" s="74">
        <v>34</v>
      </c>
      <c r="D17" s="74">
        <v>50</v>
      </c>
      <c r="E17" s="136">
        <f t="shared" ref="E17:E19" si="0">_xlfn.STDEV.S(A17:D17)</f>
        <v>16.580611166861935</v>
      </c>
      <c r="F17" s="155" t="s">
        <v>981</v>
      </c>
      <c r="G17" s="155"/>
    </row>
    <row r="18" spans="1:7" ht="15" customHeight="1">
      <c r="A18" s="74">
        <v>26</v>
      </c>
      <c r="B18" s="74">
        <v>32</v>
      </c>
      <c r="C18" s="74">
        <v>11</v>
      </c>
      <c r="D18" s="74">
        <v>26</v>
      </c>
      <c r="E18" s="136">
        <f t="shared" si="0"/>
        <v>8.9582364335844584</v>
      </c>
      <c r="F18" s="155" t="s">
        <v>982</v>
      </c>
      <c r="G18" s="155"/>
    </row>
    <row r="19" spans="1:7" ht="15" customHeight="1">
      <c r="A19" s="74">
        <v>42</v>
      </c>
      <c r="B19" s="74">
        <v>40</v>
      </c>
      <c r="C19" s="74">
        <v>47</v>
      </c>
      <c r="D19" s="74">
        <v>47</v>
      </c>
      <c r="E19" s="136">
        <f t="shared" si="0"/>
        <v>3.5590260840104371</v>
      </c>
      <c r="F19" s="155" t="s">
        <v>983</v>
      </c>
      <c r="G19" s="155"/>
    </row>
    <row r="20" spans="1:7" ht="15.6">
      <c r="A20" s="70"/>
      <c r="B20" s="69"/>
      <c r="C20" s="69"/>
    </row>
    <row r="21" spans="1:7" ht="15.6">
      <c r="A21" s="70" t="s">
        <v>236</v>
      </c>
    </row>
    <row r="22" spans="1:7">
      <c r="A22" s="101" t="s">
        <v>977</v>
      </c>
    </row>
    <row r="23" spans="1:7" ht="15" customHeight="1">
      <c r="A23" s="158" t="s">
        <v>978</v>
      </c>
      <c r="B23" s="159"/>
      <c r="C23" s="159"/>
      <c r="D23" s="160"/>
      <c r="E23" s="78" t="s">
        <v>49</v>
      </c>
    </row>
    <row r="24" spans="1:7">
      <c r="A24" s="74">
        <v>7</v>
      </c>
      <c r="B24" s="74">
        <v>7</v>
      </c>
      <c r="C24" s="74">
        <v>2</v>
      </c>
      <c r="D24" s="74">
        <v>3</v>
      </c>
      <c r="E24" s="74">
        <f>_xlfn.STDEV.S(A24:D24)</f>
        <v>2.6299556396765835</v>
      </c>
    </row>
    <row r="25" spans="1:7">
      <c r="A25" s="74">
        <v>1</v>
      </c>
      <c r="B25" s="74">
        <v>2</v>
      </c>
      <c r="C25" s="74">
        <v>1</v>
      </c>
      <c r="D25" s="74">
        <v>6</v>
      </c>
      <c r="E25" s="74">
        <f t="shared" ref="E25:E27" si="1">_xlfn.STDEV.S(A25:D25)</f>
        <v>2.3804761428476167</v>
      </c>
    </row>
    <row r="26" spans="1:7">
      <c r="A26" s="74">
        <v>5</v>
      </c>
      <c r="B26" s="74">
        <v>8</v>
      </c>
      <c r="C26" s="74">
        <v>8</v>
      </c>
      <c r="D26" s="74">
        <v>6</v>
      </c>
      <c r="E26" s="74">
        <f t="shared" si="1"/>
        <v>1.5</v>
      </c>
    </row>
    <row r="27" spans="1:7">
      <c r="A27" s="74">
        <v>5</v>
      </c>
      <c r="B27" s="74">
        <v>8</v>
      </c>
      <c r="C27" s="74">
        <v>7</v>
      </c>
      <c r="D27" s="74">
        <v>4</v>
      </c>
      <c r="E27" s="74">
        <f t="shared" si="1"/>
        <v>1.8257418583505538</v>
      </c>
    </row>
    <row r="28" spans="1:7" ht="15.6">
      <c r="A28" s="70"/>
      <c r="B28" s="69"/>
      <c r="C28" s="69"/>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10" zoomScale="90" zoomScaleNormal="90" workbookViewId="0">
      <selection activeCell="C31" sqref="C31:C40"/>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0" t="s">
        <v>198</v>
      </c>
      <c r="B1" s="170"/>
      <c r="C1" s="98"/>
      <c r="D1" s="73"/>
      <c r="E1" s="73"/>
      <c r="F1" s="73"/>
      <c r="G1" s="73"/>
      <c r="H1" s="73"/>
      <c r="I1" s="73"/>
      <c r="J1" s="73"/>
      <c r="K1" s="73"/>
    </row>
    <row r="2" spans="1:11" ht="15" thickTop="1"/>
    <row r="3" spans="1:11" ht="18">
      <c r="A3" s="71" t="s">
        <v>204</v>
      </c>
    </row>
    <row r="4" spans="1:11" ht="15" customHeight="1">
      <c r="A4" s="171" t="s">
        <v>985</v>
      </c>
      <c r="B4" s="171"/>
      <c r="C4" s="171"/>
      <c r="D4" s="171"/>
      <c r="E4" s="171"/>
      <c r="F4" s="171"/>
      <c r="G4" s="171"/>
      <c r="H4" s="171"/>
      <c r="I4" s="171"/>
    </row>
    <row r="5" spans="1:11">
      <c r="A5" s="171"/>
      <c r="B5" s="171"/>
      <c r="C5" s="171"/>
      <c r="D5" s="171"/>
      <c r="E5" s="171"/>
      <c r="F5" s="171"/>
      <c r="G5" s="171"/>
      <c r="H5" s="171"/>
      <c r="I5" s="171"/>
    </row>
    <row r="6" spans="1:11">
      <c r="A6" s="171"/>
      <c r="B6" s="171"/>
      <c r="C6" s="171"/>
      <c r="D6" s="171"/>
      <c r="E6" s="171"/>
      <c r="F6" s="171"/>
      <c r="G6" s="171"/>
      <c r="H6" s="171"/>
      <c r="I6" s="171"/>
    </row>
    <row r="7" spans="1:11">
      <c r="A7" s="99"/>
      <c r="B7" s="99"/>
      <c r="C7" s="99"/>
      <c r="D7" s="99"/>
      <c r="E7" s="99"/>
      <c r="F7" s="99"/>
      <c r="G7" s="99"/>
      <c r="H7" s="99"/>
      <c r="I7" s="99"/>
    </row>
    <row r="8" spans="1:11" ht="18">
      <c r="A8" s="71" t="s">
        <v>24</v>
      </c>
    </row>
    <row r="9" spans="1:11" ht="15.6">
      <c r="A9" s="76" t="s">
        <v>1058</v>
      </c>
    </row>
    <row r="11" spans="1:11" ht="15.6">
      <c r="A11" s="70" t="s">
        <v>986</v>
      </c>
    </row>
    <row r="12" spans="1:11">
      <c r="A12" t="s">
        <v>987</v>
      </c>
    </row>
    <row r="14" spans="1:11" ht="15.6">
      <c r="A14" s="70" t="s">
        <v>48</v>
      </c>
    </row>
    <row r="15" spans="1:11">
      <c r="A15" s="101" t="s">
        <v>993</v>
      </c>
    </row>
    <row r="16" spans="1:11" s="138" customFormat="1" ht="15" customHeight="1">
      <c r="A16" s="78" t="s">
        <v>988</v>
      </c>
      <c r="B16" s="78" t="s">
        <v>990</v>
      </c>
      <c r="D16" s="78" t="s">
        <v>991</v>
      </c>
      <c r="E16" s="157" t="s">
        <v>218</v>
      </c>
      <c r="F16" s="157"/>
    </row>
    <row r="17" spans="1:6" ht="15" customHeight="1">
      <c r="A17" s="74">
        <v>1</v>
      </c>
      <c r="B17" s="74">
        <v>5</v>
      </c>
      <c r="D17" s="74">
        <f>CORREL(A17:A26,B17:B26)</f>
        <v>0.99302351494545493</v>
      </c>
      <c r="E17" s="155" t="s">
        <v>992</v>
      </c>
      <c r="F17" s="155"/>
    </row>
    <row r="18" spans="1:6" ht="15" customHeight="1">
      <c r="A18" s="74">
        <v>2</v>
      </c>
      <c r="B18" s="74">
        <v>14</v>
      </c>
    </row>
    <row r="19" spans="1:6" ht="15" customHeight="1">
      <c r="A19" s="74">
        <v>3</v>
      </c>
      <c r="B19" s="74">
        <v>15</v>
      </c>
    </row>
    <row r="20" spans="1:6" ht="15" customHeight="1">
      <c r="A20" s="74">
        <v>4</v>
      </c>
      <c r="B20" s="74">
        <v>20</v>
      </c>
    </row>
    <row r="21" spans="1:6">
      <c r="A21" s="74">
        <v>5</v>
      </c>
      <c r="B21" s="74">
        <v>24</v>
      </c>
      <c r="C21" s="69"/>
    </row>
    <row r="22" spans="1:6">
      <c r="A22" s="74">
        <v>6</v>
      </c>
      <c r="B22" s="74">
        <v>30</v>
      </c>
    </row>
    <row r="23" spans="1:6">
      <c r="A23" s="74">
        <v>7</v>
      </c>
      <c r="B23" s="74">
        <v>35</v>
      </c>
    </row>
    <row r="24" spans="1:6">
      <c r="A24" s="74">
        <v>8</v>
      </c>
      <c r="B24" s="74">
        <v>38</v>
      </c>
    </row>
    <row r="25" spans="1:6">
      <c r="A25" s="74">
        <v>9</v>
      </c>
      <c r="B25" s="74">
        <v>40</v>
      </c>
    </row>
    <row r="26" spans="1:6">
      <c r="A26" s="74">
        <v>10</v>
      </c>
      <c r="B26" s="74">
        <v>45</v>
      </c>
    </row>
    <row r="28" spans="1:6" ht="15.6">
      <c r="A28" s="70" t="s">
        <v>236</v>
      </c>
    </row>
    <row r="29" spans="1:6">
      <c r="A29" s="101" t="s">
        <v>994</v>
      </c>
    </row>
    <row r="30" spans="1:6">
      <c r="A30" s="78" t="s">
        <v>988</v>
      </c>
      <c r="B30" s="78" t="s">
        <v>989</v>
      </c>
    </row>
    <row r="31" spans="1:6">
      <c r="A31" s="74">
        <v>1</v>
      </c>
      <c r="B31" s="74">
        <v>20</v>
      </c>
      <c r="C31">
        <f>CORREL(A31:A40,B31:B40)</f>
        <v>0.98264443648448419</v>
      </c>
    </row>
    <row r="32" spans="1:6">
      <c r="A32" s="74">
        <v>2</v>
      </c>
      <c r="B32" s="74">
        <v>35</v>
      </c>
      <c r="C32">
        <f t="shared" ref="C32:C40" si="0">CORREL(A32:A41,B32:B41)</f>
        <v>0.97608474119930921</v>
      </c>
    </row>
    <row r="33" spans="1:3">
      <c r="A33" s="74">
        <v>3</v>
      </c>
      <c r="B33" s="74">
        <v>45</v>
      </c>
      <c r="C33">
        <f t="shared" si="0"/>
        <v>0.96565462136289359</v>
      </c>
    </row>
    <row r="34" spans="1:3">
      <c r="A34" s="74">
        <v>4</v>
      </c>
      <c r="B34" s="74">
        <v>60</v>
      </c>
      <c r="C34">
        <f t="shared" si="0"/>
        <v>0.95129444143149688</v>
      </c>
    </row>
    <row r="35" spans="1:3">
      <c r="A35" s="74">
        <v>5</v>
      </c>
      <c r="B35" s="74">
        <v>80</v>
      </c>
      <c r="C35">
        <f t="shared" si="0"/>
        <v>0.93763929901721521</v>
      </c>
    </row>
    <row r="36" spans="1:3">
      <c r="A36" s="74">
        <v>6</v>
      </c>
      <c r="B36" s="74">
        <v>100</v>
      </c>
      <c r="C36">
        <f t="shared" si="0"/>
        <v>0.92797905776990575</v>
      </c>
    </row>
    <row r="37" spans="1:3">
      <c r="A37" s="74">
        <v>7</v>
      </c>
      <c r="B37" s="74">
        <v>120</v>
      </c>
      <c r="C37">
        <f t="shared" si="0"/>
        <v>0.93068008119537737</v>
      </c>
    </row>
    <row r="38" spans="1:3">
      <c r="A38" s="74">
        <v>8</v>
      </c>
      <c r="B38" s="74">
        <v>122</v>
      </c>
      <c r="C38">
        <f t="shared" si="0"/>
        <v>0.954919108405064</v>
      </c>
    </row>
    <row r="39" spans="1:3">
      <c r="A39" s="74">
        <v>9</v>
      </c>
      <c r="B39" s="74">
        <v>125</v>
      </c>
      <c r="C39">
        <f t="shared" si="0"/>
        <v>1</v>
      </c>
    </row>
    <row r="40" spans="1:3">
      <c r="A40" s="74">
        <v>10</v>
      </c>
      <c r="B40" s="74">
        <v>135</v>
      </c>
      <c r="C40" t="e">
        <f t="shared" si="0"/>
        <v>#DIV/0!</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topLeftCell="A7" zoomScale="90" zoomScaleNormal="90" workbookViewId="0">
      <selection activeCell="J15" sqref="J15:K15"/>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0" t="s">
        <v>199</v>
      </c>
      <c r="B1" s="170"/>
      <c r="C1" s="98"/>
      <c r="D1" s="73"/>
      <c r="E1" s="73"/>
      <c r="F1" s="73"/>
      <c r="G1" s="73"/>
      <c r="H1" s="73"/>
      <c r="I1" s="73"/>
      <c r="J1" s="73"/>
      <c r="K1" s="73"/>
    </row>
    <row r="2" spans="1:11" ht="15" thickTop="1"/>
    <row r="3" spans="1:11" ht="18">
      <c r="A3" s="71" t="s">
        <v>204</v>
      </c>
    </row>
    <row r="4" spans="1:11" ht="15" customHeight="1">
      <c r="A4" s="171" t="s">
        <v>995</v>
      </c>
      <c r="B4" s="171"/>
      <c r="C4" s="171"/>
      <c r="D4" s="171"/>
      <c r="E4" s="171"/>
      <c r="F4" s="171"/>
      <c r="G4" s="171"/>
      <c r="H4" s="171"/>
      <c r="I4" s="171"/>
    </row>
    <row r="5" spans="1:11">
      <c r="A5" s="99"/>
      <c r="B5" s="99"/>
      <c r="C5" s="99"/>
      <c r="D5" s="99"/>
      <c r="E5" s="99"/>
      <c r="F5" s="99"/>
      <c r="G5" s="99"/>
      <c r="H5" s="99"/>
      <c r="I5" s="99"/>
    </row>
    <row r="6" spans="1:11" ht="18">
      <c r="A6" s="71" t="s">
        <v>24</v>
      </c>
    </row>
    <row r="7" spans="1:11" ht="15.6">
      <c r="A7" s="76" t="s">
        <v>996</v>
      </c>
    </row>
    <row r="9" spans="1:11" ht="15.6">
      <c r="A9" s="70" t="s">
        <v>997</v>
      </c>
    </row>
    <row r="10" spans="1:11">
      <c r="A10" t="s">
        <v>998</v>
      </c>
    </row>
    <row r="12" spans="1:11" ht="15.6">
      <c r="A12" s="70" t="s">
        <v>48</v>
      </c>
    </row>
    <row r="13" spans="1:11">
      <c r="A13" s="101" t="s">
        <v>999</v>
      </c>
    </row>
    <row r="14" spans="1:11" s="138" customFormat="1" ht="15" customHeight="1">
      <c r="A14" s="78" t="s">
        <v>1004</v>
      </c>
      <c r="C14" s="78" t="s">
        <v>1000</v>
      </c>
      <c r="D14" s="157" t="s">
        <v>218</v>
      </c>
      <c r="E14" s="157"/>
      <c r="G14" s="78" t="s">
        <v>1005</v>
      </c>
      <c r="I14" s="78" t="s">
        <v>1000</v>
      </c>
      <c r="J14" s="157" t="s">
        <v>218</v>
      </c>
      <c r="K14" s="157"/>
    </row>
    <row r="15" spans="1:11" ht="15" customHeight="1">
      <c r="A15" s="74">
        <v>89</v>
      </c>
      <c r="C15" s="74">
        <f>MEDIAN(A15:A35)</f>
        <v>84</v>
      </c>
      <c r="D15" s="155" t="s">
        <v>1001</v>
      </c>
      <c r="E15" s="155"/>
      <c r="G15" s="74">
        <v>94</v>
      </c>
      <c r="I15" s="74">
        <f>MEDIAN(G15:G34)</f>
        <v>82</v>
      </c>
      <c r="J15" s="155" t="s">
        <v>1002</v>
      </c>
      <c r="K15" s="155"/>
    </row>
    <row r="16" spans="1:11" ht="15" customHeight="1">
      <c r="A16" s="74">
        <v>91</v>
      </c>
      <c r="G16" s="74">
        <v>57</v>
      </c>
    </row>
    <row r="17" spans="1:7" ht="15" customHeight="1">
      <c r="A17" s="74">
        <v>65</v>
      </c>
      <c r="C17" s="196" t="s">
        <v>1003</v>
      </c>
      <c r="D17" s="197"/>
      <c r="E17" s="198"/>
      <c r="G17" s="74">
        <v>80</v>
      </c>
    </row>
    <row r="18" spans="1:7" ht="15" customHeight="1">
      <c r="A18" s="74">
        <v>59</v>
      </c>
      <c r="C18" s="199"/>
      <c r="D18" s="200"/>
      <c r="E18" s="201"/>
      <c r="G18" s="74">
        <v>91</v>
      </c>
    </row>
    <row r="19" spans="1:7">
      <c r="A19" s="74">
        <v>60</v>
      </c>
      <c r="B19" s="69"/>
      <c r="C19" s="199"/>
      <c r="D19" s="200"/>
      <c r="E19" s="201"/>
      <c r="G19" s="74">
        <v>97</v>
      </c>
    </row>
    <row r="20" spans="1:7">
      <c r="A20" s="74">
        <v>86</v>
      </c>
      <c r="C20" s="199"/>
      <c r="D20" s="200"/>
      <c r="E20" s="201"/>
      <c r="G20" s="74">
        <v>84</v>
      </c>
    </row>
    <row r="21" spans="1:7">
      <c r="A21" s="74">
        <v>51</v>
      </c>
      <c r="C21" s="199"/>
      <c r="D21" s="200"/>
      <c r="E21" s="201"/>
      <c r="G21" s="74">
        <v>79</v>
      </c>
    </row>
    <row r="22" spans="1:7">
      <c r="A22" s="74">
        <v>95</v>
      </c>
      <c r="C22" s="199"/>
      <c r="D22" s="200"/>
      <c r="E22" s="201"/>
      <c r="G22" s="74">
        <v>53</v>
      </c>
    </row>
    <row r="23" spans="1:7">
      <c r="A23" s="74">
        <v>84</v>
      </c>
      <c r="C23" s="199"/>
      <c r="D23" s="200"/>
      <c r="E23" s="201"/>
      <c r="G23" s="74">
        <v>50</v>
      </c>
    </row>
    <row r="24" spans="1:7">
      <c r="A24" s="74">
        <v>88</v>
      </c>
      <c r="C24" s="199"/>
      <c r="D24" s="200"/>
      <c r="E24" s="201"/>
      <c r="G24" s="74">
        <v>53</v>
      </c>
    </row>
    <row r="25" spans="1:7">
      <c r="A25" s="74">
        <v>92</v>
      </c>
      <c r="C25" s="202"/>
      <c r="D25" s="203"/>
      <c r="E25" s="204"/>
      <c r="G25" s="74">
        <v>78</v>
      </c>
    </row>
    <row r="26" spans="1:7">
      <c r="A26" s="74">
        <v>85</v>
      </c>
      <c r="G26" s="74">
        <v>54</v>
      </c>
    </row>
    <row r="27" spans="1:7">
      <c r="A27" s="74">
        <v>74</v>
      </c>
      <c r="G27" s="74">
        <v>85</v>
      </c>
    </row>
    <row r="28" spans="1:7">
      <c r="A28" s="74">
        <v>76</v>
      </c>
      <c r="G28" s="74">
        <v>54</v>
      </c>
    </row>
    <row r="29" spans="1:7">
      <c r="A29" s="74">
        <v>60</v>
      </c>
      <c r="G29" s="74">
        <v>98</v>
      </c>
    </row>
    <row r="30" spans="1:7">
      <c r="A30" s="74">
        <v>65</v>
      </c>
      <c r="G30" s="74">
        <v>92</v>
      </c>
    </row>
    <row r="31" spans="1:7">
      <c r="A31" s="74">
        <v>93</v>
      </c>
      <c r="G31" s="74">
        <v>84</v>
      </c>
    </row>
    <row r="32" spans="1:7">
      <c r="A32" s="74">
        <v>98</v>
      </c>
      <c r="G32" s="74">
        <v>71</v>
      </c>
    </row>
    <row r="33" spans="1:7">
      <c r="A33" s="74">
        <v>64</v>
      </c>
      <c r="G33" s="74">
        <v>100</v>
      </c>
    </row>
    <row r="34" spans="1:7">
      <c r="A34" s="74">
        <v>77</v>
      </c>
      <c r="G34" s="74">
        <v>94</v>
      </c>
    </row>
    <row r="35" spans="1:7">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opLeftCell="A91" zoomScale="90" zoomScaleNormal="90" workbookViewId="0">
      <selection sqref="A1:D1"/>
    </sheetView>
  </sheetViews>
  <sheetFormatPr defaultRowHeight="14.4"/>
  <cols>
    <col min="1" max="1" width="12.88671875" customWidth="1"/>
    <col min="2" max="2" width="12.6640625" customWidth="1"/>
    <col min="3" max="3" width="13.33203125" customWidth="1"/>
    <col min="4" max="4" width="15.109375" customWidth="1"/>
    <col min="5" max="5" width="14.6640625" customWidth="1"/>
    <col min="6" max="6" width="13.5546875" customWidth="1"/>
    <col min="7" max="7" width="11.5546875" customWidth="1"/>
    <col min="8" max="8" width="12" customWidth="1"/>
    <col min="9" max="9" width="12.109375" customWidth="1"/>
    <col min="10" max="10" width="11.33203125" customWidth="1"/>
    <col min="11" max="11" width="10.109375" customWidth="1"/>
  </cols>
  <sheetData>
    <row r="1" spans="1:11" ht="31.8" thickBot="1">
      <c r="A1" s="170" t="s">
        <v>1006</v>
      </c>
      <c r="B1" s="170"/>
      <c r="C1" s="170"/>
      <c r="D1" s="170"/>
      <c r="E1" s="73"/>
      <c r="F1" s="73"/>
      <c r="G1" s="73"/>
      <c r="H1" s="73"/>
      <c r="I1" s="73"/>
      <c r="J1" s="73"/>
      <c r="K1" s="73"/>
    </row>
    <row r="2" spans="1:11" ht="15" thickTop="1"/>
    <row r="3" spans="1:11" ht="18">
      <c r="A3" s="71" t="s">
        <v>1007</v>
      </c>
    </row>
    <row r="4" spans="1:11" ht="15" customHeight="1">
      <c r="A4" s="171" t="s">
        <v>1018</v>
      </c>
      <c r="B4" s="171"/>
      <c r="C4" s="171"/>
      <c r="D4" s="171"/>
      <c r="E4" s="171"/>
      <c r="F4" s="171"/>
      <c r="G4" s="171"/>
      <c r="H4" s="171"/>
      <c r="I4" s="171"/>
    </row>
    <row r="5" spans="1:11">
      <c r="A5" s="99"/>
      <c r="B5" s="99"/>
      <c r="C5" s="99"/>
      <c r="D5" s="99"/>
      <c r="E5" s="99"/>
      <c r="F5" s="99"/>
      <c r="G5" s="99"/>
      <c r="H5" s="99"/>
      <c r="I5" s="99"/>
    </row>
    <row r="6" spans="1:11" ht="18">
      <c r="A6" s="71" t="s">
        <v>24</v>
      </c>
      <c r="B6" s="99"/>
      <c r="C6" s="99"/>
      <c r="D6" s="99"/>
      <c r="E6" s="99"/>
      <c r="F6" s="99"/>
      <c r="G6" s="99"/>
      <c r="H6" s="99"/>
      <c r="I6" s="99"/>
    </row>
    <row r="7" spans="1:11" ht="15.6">
      <c r="A7" s="76" t="s">
        <v>1010</v>
      </c>
      <c r="B7" s="99"/>
      <c r="C7" s="99"/>
      <c r="D7" s="99"/>
      <c r="E7" s="99"/>
      <c r="F7" s="99"/>
      <c r="G7" s="99"/>
      <c r="H7" s="99"/>
      <c r="I7" s="99"/>
    </row>
    <row r="8" spans="1:11">
      <c r="A8" s="99"/>
      <c r="B8" s="99"/>
      <c r="C8" s="99"/>
      <c r="D8" s="99"/>
      <c r="E8" s="99"/>
      <c r="F8" s="99"/>
      <c r="G8" s="99"/>
      <c r="H8" s="99"/>
      <c r="I8" s="99"/>
    </row>
    <row r="9" spans="1:11">
      <c r="A9" s="142" t="s">
        <v>1009</v>
      </c>
      <c r="B9" s="99"/>
      <c r="C9" s="99"/>
      <c r="D9" s="99"/>
      <c r="E9" s="99"/>
      <c r="F9" s="99"/>
      <c r="G9" s="99"/>
      <c r="H9" s="99"/>
      <c r="I9" s="99"/>
    </row>
    <row r="10" spans="1:11">
      <c r="A10" s="99" t="s">
        <v>1011</v>
      </c>
      <c r="B10" s="99"/>
      <c r="C10" s="99"/>
      <c r="D10" s="99"/>
      <c r="E10" s="99"/>
      <c r="F10" s="99"/>
      <c r="G10" s="99"/>
      <c r="H10" s="99"/>
      <c r="I10" s="99"/>
    </row>
    <row r="11" spans="1:11">
      <c r="A11" s="99"/>
      <c r="B11" s="99"/>
      <c r="C11" s="99"/>
      <c r="D11" s="99"/>
      <c r="E11" s="99"/>
      <c r="F11" s="99"/>
      <c r="G11" s="99"/>
      <c r="H11" s="99"/>
      <c r="I11" s="99"/>
    </row>
    <row r="12" spans="1:11">
      <c r="A12" s="142" t="s">
        <v>1012</v>
      </c>
      <c r="B12" s="99"/>
      <c r="C12" s="99"/>
      <c r="D12" s="99"/>
      <c r="E12" s="99"/>
      <c r="F12" s="99"/>
      <c r="G12" s="99"/>
      <c r="H12" s="99"/>
      <c r="I12" s="99"/>
    </row>
    <row r="13" spans="1:11">
      <c r="A13" s="141" t="s">
        <v>1013</v>
      </c>
      <c r="B13" s="99"/>
      <c r="C13" s="99"/>
      <c r="D13" s="99"/>
      <c r="E13" s="99"/>
      <c r="F13" s="99"/>
      <c r="G13" s="99"/>
      <c r="H13" s="99"/>
      <c r="I13" s="99"/>
    </row>
    <row r="14" spans="1:11">
      <c r="A14" s="99"/>
      <c r="B14" s="99"/>
      <c r="C14" s="99"/>
      <c r="D14" s="99"/>
      <c r="E14" s="99"/>
      <c r="F14" s="99"/>
      <c r="G14" s="99"/>
      <c r="H14" s="99"/>
      <c r="I14" s="99"/>
    </row>
    <row r="15" spans="1:11">
      <c r="A15" s="142" t="s">
        <v>202</v>
      </c>
      <c r="B15" s="99"/>
      <c r="C15" s="99"/>
      <c r="D15" s="99"/>
      <c r="E15" s="99"/>
      <c r="F15" s="99"/>
      <c r="G15" s="99"/>
      <c r="H15" s="99"/>
      <c r="I15" s="99"/>
    </row>
    <row r="16" spans="1:11">
      <c r="A16" s="141" t="s">
        <v>1014</v>
      </c>
      <c r="B16" s="99"/>
      <c r="C16" s="99"/>
      <c r="D16" s="99"/>
      <c r="E16" s="99"/>
      <c r="F16" s="99"/>
      <c r="G16" s="99"/>
      <c r="H16" s="99"/>
      <c r="I16" s="99"/>
    </row>
    <row r="17" spans="1:9">
      <c r="A17" s="99"/>
      <c r="B17" s="99"/>
      <c r="C17" s="99"/>
      <c r="D17" s="99"/>
      <c r="E17" s="99"/>
      <c r="F17" s="99"/>
      <c r="G17" s="99"/>
      <c r="H17" s="99"/>
      <c r="I17" s="99"/>
    </row>
    <row r="18" spans="1:9">
      <c r="A18" s="142" t="s">
        <v>1015</v>
      </c>
      <c r="B18" s="99"/>
      <c r="C18" s="99"/>
      <c r="D18" s="99"/>
      <c r="E18" s="99"/>
      <c r="F18" s="99"/>
      <c r="G18" s="99"/>
      <c r="H18" s="99"/>
      <c r="I18" s="99"/>
    </row>
    <row r="19" spans="1:9">
      <c r="A19" s="150" t="s">
        <v>1016</v>
      </c>
      <c r="B19" s="150"/>
      <c r="C19" s="150"/>
      <c r="D19" s="150"/>
      <c r="E19" s="150"/>
      <c r="F19" s="150"/>
      <c r="G19" s="150"/>
      <c r="H19" s="150"/>
      <c r="I19" s="99"/>
    </row>
    <row r="20" spans="1:9">
      <c r="A20" s="150"/>
      <c r="B20" s="150"/>
      <c r="C20" s="150"/>
      <c r="D20" s="150"/>
      <c r="E20" s="150"/>
      <c r="F20" s="150"/>
      <c r="G20" s="150"/>
      <c r="H20" s="150"/>
      <c r="I20" s="99"/>
    </row>
    <row r="21" spans="1:9">
      <c r="A21" s="81"/>
      <c r="B21" s="81"/>
      <c r="C21" s="81"/>
      <c r="D21" s="81"/>
      <c r="E21" s="81"/>
      <c r="F21" s="81"/>
      <c r="G21" s="81"/>
      <c r="H21" s="81"/>
      <c r="I21" s="99"/>
    </row>
    <row r="22" spans="1:9">
      <c r="A22" s="150" t="s">
        <v>1008</v>
      </c>
      <c r="B22" s="150"/>
      <c r="C22" s="150"/>
      <c r="D22" s="150"/>
      <c r="E22" s="150"/>
      <c r="F22" s="150"/>
      <c r="G22" s="150"/>
      <c r="H22" s="150"/>
      <c r="I22" s="99"/>
    </row>
    <row r="23" spans="1:9">
      <c r="A23" s="150"/>
      <c r="B23" s="150"/>
      <c r="C23" s="150"/>
      <c r="D23" s="150"/>
      <c r="E23" s="150"/>
      <c r="F23" s="150"/>
      <c r="G23" s="150"/>
      <c r="H23" s="150"/>
      <c r="I23" s="99"/>
    </row>
    <row r="24" spans="1:9">
      <c r="A24" s="143" t="s">
        <v>1009</v>
      </c>
      <c r="B24" s="144">
        <f>0.04/12</f>
        <v>3.3333333333333335E-3</v>
      </c>
      <c r="C24" s="141" t="s">
        <v>1023</v>
      </c>
      <c r="D24" s="99"/>
      <c r="E24" s="99"/>
      <c r="F24" s="99"/>
      <c r="G24" s="99"/>
      <c r="H24" s="99"/>
      <c r="I24" s="99"/>
    </row>
    <row r="25" spans="1:9">
      <c r="A25" s="143" t="s">
        <v>201</v>
      </c>
      <c r="B25" s="103">
        <v>48</v>
      </c>
      <c r="C25" s="99"/>
      <c r="D25" s="99"/>
      <c r="E25" s="99"/>
      <c r="F25" s="99"/>
      <c r="G25" s="99"/>
      <c r="H25" s="99"/>
      <c r="I25" s="99"/>
    </row>
    <row r="26" spans="1:9" ht="15" customHeight="1">
      <c r="A26" s="143" t="s">
        <v>202</v>
      </c>
      <c r="B26" s="145">
        <v>80000</v>
      </c>
      <c r="C26" s="99"/>
      <c r="D26" s="205" t="s">
        <v>1029</v>
      </c>
      <c r="E26" s="205"/>
      <c r="F26" s="205"/>
      <c r="G26" s="205"/>
      <c r="H26" s="99"/>
      <c r="I26" s="99"/>
    </row>
    <row r="27" spans="1:9">
      <c r="A27" s="137" t="s">
        <v>200</v>
      </c>
      <c r="B27" s="145">
        <f>PMT(B24,B25,B26)</f>
        <v>-1806.3243713351985</v>
      </c>
      <c r="C27" s="99"/>
      <c r="D27" s="205"/>
      <c r="E27" s="205"/>
      <c r="F27" s="205"/>
      <c r="G27" s="205"/>
      <c r="H27" s="99"/>
      <c r="I27" s="99"/>
    </row>
    <row r="28" spans="1:9">
      <c r="A28" s="137" t="s">
        <v>218</v>
      </c>
      <c r="B28" s="173" t="s">
        <v>1017</v>
      </c>
      <c r="C28" s="173"/>
      <c r="D28" s="205"/>
      <c r="E28" s="205"/>
      <c r="F28" s="205"/>
      <c r="G28" s="205"/>
      <c r="H28" s="99"/>
      <c r="I28" s="99"/>
    </row>
    <row r="29" spans="1:9">
      <c r="A29" s="99"/>
      <c r="B29" s="99"/>
      <c r="C29" s="99"/>
      <c r="D29" s="99"/>
      <c r="E29" s="99"/>
      <c r="F29" s="99"/>
      <c r="G29" s="99"/>
      <c r="H29" s="99"/>
      <c r="I29" s="99"/>
    </row>
    <row r="30" spans="1:9">
      <c r="A30" s="99"/>
      <c r="B30" s="99"/>
      <c r="C30" s="99"/>
      <c r="D30" s="99"/>
      <c r="E30" s="99"/>
      <c r="F30" s="99"/>
      <c r="G30" s="99"/>
      <c r="H30" s="99"/>
      <c r="I30" s="99"/>
    </row>
    <row r="31" spans="1:9" ht="18">
      <c r="A31" s="71" t="s">
        <v>1019</v>
      </c>
    </row>
    <row r="32" spans="1:9">
      <c r="A32" s="171" t="s">
        <v>1020</v>
      </c>
      <c r="B32" s="171"/>
      <c r="C32" s="171"/>
      <c r="D32" s="171"/>
      <c r="E32" s="171"/>
      <c r="F32" s="171"/>
      <c r="G32" s="171"/>
      <c r="H32" s="171"/>
      <c r="I32" s="171"/>
    </row>
    <row r="33" spans="1:9">
      <c r="A33" s="99"/>
      <c r="B33" s="99"/>
      <c r="C33" s="99"/>
      <c r="D33" s="99"/>
      <c r="E33" s="99"/>
      <c r="F33" s="99"/>
      <c r="G33" s="99"/>
      <c r="H33" s="99"/>
      <c r="I33" s="99"/>
    </row>
    <row r="34" spans="1:9" ht="18">
      <c r="A34" s="71" t="s">
        <v>24</v>
      </c>
      <c r="B34" s="99"/>
      <c r="C34" s="99"/>
      <c r="D34" s="99"/>
      <c r="E34" s="99"/>
      <c r="F34" s="99"/>
      <c r="G34" s="99"/>
      <c r="H34" s="99"/>
      <c r="I34" s="99"/>
    </row>
    <row r="35" spans="1:9" ht="15.6">
      <c r="A35" s="76" t="s">
        <v>1021</v>
      </c>
      <c r="B35" s="99"/>
      <c r="C35" s="99"/>
      <c r="D35" s="99"/>
      <c r="E35" s="99"/>
      <c r="F35" s="99"/>
      <c r="G35" s="99"/>
      <c r="H35" s="99"/>
      <c r="I35" s="99"/>
    </row>
    <row r="36" spans="1:9">
      <c r="A36" s="99"/>
      <c r="B36" s="99"/>
    </row>
    <row r="37" spans="1:9">
      <c r="A37" s="142" t="s">
        <v>1009</v>
      </c>
      <c r="B37" s="99"/>
    </row>
    <row r="38" spans="1:9">
      <c r="A38" s="99" t="s">
        <v>1011</v>
      </c>
      <c r="B38" s="99"/>
    </row>
    <row r="39" spans="1:9">
      <c r="A39" s="99"/>
      <c r="B39" s="99"/>
    </row>
    <row r="40" spans="1:9">
      <c r="A40" s="142" t="s">
        <v>200</v>
      </c>
      <c r="B40" s="99"/>
    </row>
    <row r="41" spans="1:9">
      <c r="A41" s="141" t="s">
        <v>1022</v>
      </c>
      <c r="B41" s="99"/>
    </row>
    <row r="42" spans="1:9">
      <c r="A42" s="99"/>
      <c r="B42" s="99"/>
    </row>
    <row r="43" spans="1:9">
      <c r="A43" s="142" t="s">
        <v>202</v>
      </c>
      <c r="B43" s="99"/>
    </row>
    <row r="44" spans="1:9">
      <c r="A44" s="141" t="s">
        <v>1014</v>
      </c>
      <c r="B44" s="99"/>
    </row>
    <row r="46" spans="1:9">
      <c r="A46" s="142" t="s">
        <v>1015</v>
      </c>
      <c r="B46" s="99"/>
      <c r="C46" s="99"/>
      <c r="D46" s="99"/>
      <c r="E46" s="99"/>
      <c r="F46" s="99"/>
      <c r="G46" s="99"/>
      <c r="H46" s="99"/>
    </row>
    <row r="47" spans="1:9">
      <c r="A47" s="150" t="s">
        <v>1016</v>
      </c>
      <c r="B47" s="150"/>
      <c r="C47" s="150"/>
      <c r="D47" s="150"/>
      <c r="E47" s="150"/>
      <c r="F47" s="150"/>
      <c r="G47" s="150"/>
      <c r="H47" s="150"/>
    </row>
    <row r="48" spans="1:9">
      <c r="A48" s="150"/>
      <c r="B48" s="150"/>
      <c r="C48" s="150"/>
      <c r="D48" s="150"/>
      <c r="E48" s="150"/>
      <c r="F48" s="150"/>
      <c r="G48" s="150"/>
      <c r="H48" s="150"/>
    </row>
    <row r="50" spans="1:9">
      <c r="A50" s="143" t="s">
        <v>1009</v>
      </c>
      <c r="B50" s="144">
        <f>0.04/12</f>
        <v>3.3333333333333335E-3</v>
      </c>
      <c r="C50" s="141"/>
    </row>
    <row r="51" spans="1:9">
      <c r="A51" s="143" t="s">
        <v>200</v>
      </c>
      <c r="B51" s="145">
        <v>-1500</v>
      </c>
      <c r="C51" s="99"/>
      <c r="D51" s="206" t="s">
        <v>1025</v>
      </c>
      <c r="E51" s="207"/>
      <c r="F51" s="207"/>
      <c r="G51" s="208"/>
    </row>
    <row r="52" spans="1:9">
      <c r="A52" s="143" t="s">
        <v>202</v>
      </c>
      <c r="B52" s="145">
        <v>80000</v>
      </c>
      <c r="C52" s="99"/>
      <c r="D52" s="209"/>
      <c r="E52" s="210"/>
      <c r="F52" s="210"/>
      <c r="G52" s="211"/>
    </row>
    <row r="53" spans="1:9">
      <c r="A53" s="137" t="s">
        <v>201</v>
      </c>
      <c r="B53" s="146">
        <f>NPER(B50,B51,B52)</f>
        <v>58.821191143328278</v>
      </c>
      <c r="C53" s="99"/>
    </row>
    <row r="54" spans="1:9">
      <c r="A54" s="137" t="s">
        <v>218</v>
      </c>
      <c r="B54" s="173" t="s">
        <v>1024</v>
      </c>
      <c r="C54" s="173"/>
    </row>
    <row r="57" spans="1:9" ht="18">
      <c r="A57" s="71" t="s">
        <v>1026</v>
      </c>
    </row>
    <row r="58" spans="1:9">
      <c r="A58" s="171" t="s">
        <v>1027</v>
      </c>
      <c r="B58" s="171"/>
      <c r="C58" s="171"/>
      <c r="D58" s="171"/>
      <c r="E58" s="171"/>
      <c r="F58" s="171"/>
      <c r="G58" s="171"/>
      <c r="H58" s="171"/>
      <c r="I58" s="171"/>
    </row>
    <row r="59" spans="1:9">
      <c r="A59" s="99"/>
      <c r="B59" s="99"/>
      <c r="C59" s="99"/>
      <c r="D59" s="99"/>
      <c r="E59" s="99"/>
      <c r="F59" s="99"/>
      <c r="G59" s="99"/>
      <c r="H59" s="99"/>
      <c r="I59" s="99"/>
    </row>
    <row r="60" spans="1:9" ht="18">
      <c r="A60" s="71" t="s">
        <v>24</v>
      </c>
      <c r="B60" s="99"/>
      <c r="C60" s="99"/>
      <c r="D60" s="99"/>
      <c r="E60" s="99"/>
      <c r="F60" s="99"/>
      <c r="G60" s="99"/>
      <c r="H60" s="99"/>
      <c r="I60" s="99"/>
    </row>
    <row r="61" spans="1:9" ht="15.6">
      <c r="A61" s="76" t="s">
        <v>1028</v>
      </c>
      <c r="B61" s="99"/>
      <c r="C61" s="99"/>
      <c r="D61" s="99"/>
      <c r="E61" s="99"/>
      <c r="F61" s="99"/>
      <c r="G61" s="99"/>
      <c r="H61" s="99"/>
      <c r="I61" s="99"/>
    </row>
    <row r="62" spans="1:9">
      <c r="A62" s="99"/>
      <c r="B62" s="99"/>
    </row>
    <row r="63" spans="1:9">
      <c r="A63" s="142" t="s">
        <v>1009</v>
      </c>
      <c r="B63" s="99"/>
    </row>
    <row r="64" spans="1:9">
      <c r="A64" s="99" t="s">
        <v>1011</v>
      </c>
      <c r="B64" s="99"/>
    </row>
    <row r="65" spans="1:8">
      <c r="A65" s="99"/>
      <c r="B65" s="99"/>
    </row>
    <row r="66" spans="1:8">
      <c r="A66" s="142" t="s">
        <v>201</v>
      </c>
      <c r="B66" s="99"/>
    </row>
    <row r="67" spans="1:8">
      <c r="A67" s="141" t="s">
        <v>1013</v>
      </c>
      <c r="B67" s="99"/>
    </row>
    <row r="68" spans="1:8">
      <c r="A68" s="99"/>
      <c r="B68" s="99"/>
    </row>
    <row r="69" spans="1:8">
      <c r="A69" s="142" t="s">
        <v>200</v>
      </c>
      <c r="B69" s="99"/>
    </row>
    <row r="70" spans="1:8">
      <c r="A70" s="141" t="s">
        <v>1022</v>
      </c>
      <c r="B70" s="99"/>
    </row>
    <row r="72" spans="1:8">
      <c r="A72" s="142" t="s">
        <v>1015</v>
      </c>
      <c r="B72" s="99"/>
      <c r="C72" s="99"/>
      <c r="D72" s="99"/>
      <c r="E72" s="99"/>
      <c r="F72" s="99"/>
      <c r="G72" s="99"/>
      <c r="H72" s="99"/>
    </row>
    <row r="73" spans="1:8">
      <c r="A73" s="150" t="s">
        <v>1016</v>
      </c>
      <c r="B73" s="150"/>
      <c r="C73" s="150"/>
      <c r="D73" s="150"/>
      <c r="E73" s="150"/>
      <c r="F73" s="150"/>
      <c r="G73" s="150"/>
      <c r="H73" s="150"/>
    </row>
    <row r="74" spans="1:8">
      <c r="A74" s="150"/>
      <c r="B74" s="150"/>
      <c r="C74" s="150"/>
      <c r="D74" s="150"/>
      <c r="E74" s="150"/>
      <c r="F74" s="150"/>
      <c r="G74" s="150"/>
      <c r="H74" s="150"/>
    </row>
    <row r="76" spans="1:8">
      <c r="A76" s="143" t="s">
        <v>1009</v>
      </c>
      <c r="B76" s="144">
        <f>0.04/12</f>
        <v>3.3333333333333335E-3</v>
      </c>
      <c r="C76" s="141"/>
    </row>
    <row r="77" spans="1:8">
      <c r="A77" s="143" t="s">
        <v>200</v>
      </c>
      <c r="B77" s="145">
        <v>-1806</v>
      </c>
      <c r="C77" s="99"/>
      <c r="D77" s="206" t="s">
        <v>1030</v>
      </c>
      <c r="E77" s="207"/>
      <c r="F77" s="207"/>
      <c r="G77" s="208"/>
    </row>
    <row r="78" spans="1:8">
      <c r="A78" s="143" t="s">
        <v>201</v>
      </c>
      <c r="B78" s="146">
        <v>48</v>
      </c>
      <c r="C78" s="99"/>
      <c r="D78" s="209"/>
      <c r="E78" s="210"/>
      <c r="F78" s="210"/>
      <c r="G78" s="211"/>
    </row>
    <row r="79" spans="1:8">
      <c r="A79" s="137" t="s">
        <v>202</v>
      </c>
      <c r="B79" s="145">
        <f>PV(B76,B78,B77)</f>
        <v>79985.633971824762</v>
      </c>
      <c r="C79" s="99"/>
    </row>
    <row r="80" spans="1:8">
      <c r="A80" s="137" t="s">
        <v>218</v>
      </c>
      <c r="B80" s="173" t="s">
        <v>1036</v>
      </c>
      <c r="C80" s="173"/>
    </row>
    <row r="83" spans="1:9" ht="18">
      <c r="A83" s="71" t="s">
        <v>1031</v>
      </c>
    </row>
    <row r="84" spans="1:9">
      <c r="A84" s="171" t="s">
        <v>1032</v>
      </c>
      <c r="B84" s="171"/>
      <c r="C84" s="171"/>
      <c r="D84" s="171"/>
      <c r="E84" s="171"/>
      <c r="F84" s="171"/>
      <c r="G84" s="171"/>
      <c r="H84" s="171"/>
      <c r="I84" s="171"/>
    </row>
    <row r="85" spans="1:9">
      <c r="A85" s="99"/>
      <c r="B85" s="99"/>
      <c r="C85" s="99"/>
      <c r="D85" s="99"/>
      <c r="E85" s="99"/>
      <c r="F85" s="99"/>
      <c r="G85" s="99"/>
      <c r="H85" s="99"/>
      <c r="I85" s="99"/>
    </row>
    <row r="86" spans="1:9" ht="18">
      <c r="A86" s="71" t="s">
        <v>24</v>
      </c>
      <c r="B86" s="99"/>
      <c r="C86" s="99"/>
      <c r="D86" s="99"/>
      <c r="E86" s="99"/>
      <c r="F86" s="99"/>
      <c r="G86" s="99"/>
      <c r="H86" s="99"/>
      <c r="I86" s="99"/>
    </row>
    <row r="87" spans="1:9" ht="15.6">
      <c r="A87" s="76" t="s">
        <v>1033</v>
      </c>
      <c r="B87" s="99"/>
      <c r="C87" s="99"/>
      <c r="D87" s="99"/>
      <c r="E87" s="99"/>
      <c r="F87" s="99"/>
      <c r="G87" s="99"/>
      <c r="H87" s="99"/>
      <c r="I87" s="99"/>
    </row>
    <row r="88" spans="1:9">
      <c r="A88" s="99"/>
      <c r="B88" s="99"/>
    </row>
    <row r="89" spans="1:9">
      <c r="A89" s="142" t="s">
        <v>1009</v>
      </c>
      <c r="B89" s="99"/>
    </row>
    <row r="90" spans="1:9">
      <c r="A90" s="99" t="s">
        <v>1011</v>
      </c>
      <c r="B90" s="99"/>
    </row>
    <row r="91" spans="1:9">
      <c r="A91" s="99"/>
      <c r="B91" s="99"/>
    </row>
    <row r="92" spans="1:9">
      <c r="A92" s="142" t="s">
        <v>201</v>
      </c>
      <c r="B92" s="99"/>
    </row>
    <row r="93" spans="1:9">
      <c r="A93" s="141" t="s">
        <v>1013</v>
      </c>
      <c r="B93" s="99"/>
    </row>
    <row r="94" spans="1:9">
      <c r="A94" s="99"/>
      <c r="B94" s="99"/>
    </row>
    <row r="95" spans="1:9">
      <c r="A95" s="142" t="s">
        <v>200</v>
      </c>
      <c r="B95" s="99"/>
    </row>
    <row r="96" spans="1:9">
      <c r="A96" s="141" t="s">
        <v>1022</v>
      </c>
      <c r="B96" s="99"/>
    </row>
    <row r="98" spans="1:8">
      <c r="A98" s="142" t="s">
        <v>1034</v>
      </c>
      <c r="B98" s="99"/>
      <c r="C98" s="99"/>
      <c r="D98" s="99"/>
      <c r="E98" s="99"/>
      <c r="F98" s="99"/>
      <c r="G98" s="99"/>
      <c r="H98" s="99"/>
    </row>
    <row r="99" spans="1:8">
      <c r="A99" s="150" t="s">
        <v>1035</v>
      </c>
      <c r="B99" s="150"/>
      <c r="C99" s="150"/>
      <c r="D99" s="150"/>
      <c r="E99" s="150"/>
      <c r="F99" s="150"/>
      <c r="G99" s="150"/>
      <c r="H99" s="150"/>
    </row>
    <row r="100" spans="1:8">
      <c r="A100" s="150"/>
      <c r="B100" s="150"/>
      <c r="C100" s="150"/>
      <c r="D100" s="150"/>
      <c r="E100" s="150"/>
      <c r="F100" s="150"/>
      <c r="G100" s="150"/>
      <c r="H100" s="150"/>
    </row>
    <row r="102" spans="1:8">
      <c r="A102" s="143" t="s">
        <v>1009</v>
      </c>
      <c r="B102" s="144">
        <f>0.04/12</f>
        <v>3.3333333333333335E-3</v>
      </c>
      <c r="C102" s="141"/>
    </row>
    <row r="103" spans="1:8" ht="15" customHeight="1">
      <c r="A103" s="143" t="s">
        <v>200</v>
      </c>
      <c r="B103" s="145">
        <v>-1806</v>
      </c>
      <c r="C103" s="99"/>
      <c r="D103" s="212" t="s">
        <v>1037</v>
      </c>
      <c r="E103" s="212"/>
      <c r="F103" s="212"/>
      <c r="G103" s="212"/>
    </row>
    <row r="104" spans="1:8">
      <c r="A104" s="143" t="s">
        <v>201</v>
      </c>
      <c r="B104" s="146">
        <v>48</v>
      </c>
      <c r="C104" s="99"/>
      <c r="D104" s="171"/>
      <c r="E104" s="171"/>
      <c r="F104" s="171"/>
      <c r="G104" s="171"/>
    </row>
    <row r="105" spans="1:8">
      <c r="A105" s="137" t="s">
        <v>203</v>
      </c>
      <c r="B105" s="145">
        <f>FV(B102,B104,B103,B79)</f>
        <v>0</v>
      </c>
      <c r="C105" s="99"/>
      <c r="D105" s="171"/>
      <c r="E105" s="171"/>
      <c r="F105" s="171"/>
      <c r="G105" s="171"/>
    </row>
    <row r="106" spans="1:8">
      <c r="A106" s="137" t="s">
        <v>218</v>
      </c>
      <c r="B106" s="173" t="s">
        <v>1038</v>
      </c>
      <c r="C106" s="173"/>
    </row>
  </sheetData>
  <mergeCells count="18">
    <mergeCell ref="A84:I84"/>
    <mergeCell ref="A99:H100"/>
    <mergeCell ref="B106:C106"/>
    <mergeCell ref="D103:G105"/>
    <mergeCell ref="B54:C54"/>
    <mergeCell ref="D51:G52"/>
    <mergeCell ref="A58:I58"/>
    <mergeCell ref="A73:H74"/>
    <mergeCell ref="D77:G78"/>
    <mergeCell ref="B80:C80"/>
    <mergeCell ref="A47:H48"/>
    <mergeCell ref="D26:G28"/>
    <mergeCell ref="A4:I4"/>
    <mergeCell ref="A1:D1"/>
    <mergeCell ref="A22:H23"/>
    <mergeCell ref="A19:H20"/>
    <mergeCell ref="B28:C28"/>
    <mergeCell ref="A32:I32"/>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3.2"/>
  <cols>
    <col min="1" max="1" width="2.6640625" style="1" customWidth="1"/>
    <col min="2" max="9" width="9.109375" style="1"/>
    <col min="10" max="11" width="8.88671875" style="1" customWidth="1"/>
    <col min="12" max="13" width="9.109375" style="1"/>
    <col min="14" max="14" width="32.44140625" style="1" customWidth="1"/>
    <col min="15" max="256" width="9.109375" style="1"/>
    <col min="257" max="257" width="2.6640625" style="1" customWidth="1"/>
    <col min="258" max="265" width="9.109375" style="1"/>
    <col min="266" max="267" width="8.88671875" style="1" customWidth="1"/>
    <col min="268" max="269" width="9.109375" style="1"/>
    <col min="270" max="270" width="32.44140625" style="1" customWidth="1"/>
    <col min="271" max="512" width="9.109375" style="1"/>
    <col min="513" max="513" width="2.6640625" style="1" customWidth="1"/>
    <col min="514" max="521" width="9.109375" style="1"/>
    <col min="522" max="523" width="8.88671875" style="1" customWidth="1"/>
    <col min="524" max="525" width="9.109375" style="1"/>
    <col min="526" max="526" width="32.44140625" style="1" customWidth="1"/>
    <col min="527" max="768" width="9.109375" style="1"/>
    <col min="769" max="769" width="2.6640625" style="1" customWidth="1"/>
    <col min="770" max="777" width="9.109375" style="1"/>
    <col min="778" max="779" width="8.88671875" style="1" customWidth="1"/>
    <col min="780" max="781" width="9.109375" style="1"/>
    <col min="782" max="782" width="32.44140625" style="1" customWidth="1"/>
    <col min="783" max="1024" width="9.109375" style="1"/>
    <col min="1025" max="1025" width="2.6640625" style="1" customWidth="1"/>
    <col min="1026" max="1033" width="9.109375" style="1"/>
    <col min="1034" max="1035" width="8.88671875" style="1" customWidth="1"/>
    <col min="1036" max="1037" width="9.109375" style="1"/>
    <col min="1038" max="1038" width="32.44140625" style="1" customWidth="1"/>
    <col min="1039" max="1280" width="9.109375" style="1"/>
    <col min="1281" max="1281" width="2.6640625" style="1" customWidth="1"/>
    <col min="1282" max="1289" width="9.109375" style="1"/>
    <col min="1290" max="1291" width="8.88671875" style="1" customWidth="1"/>
    <col min="1292" max="1293" width="9.109375" style="1"/>
    <col min="1294" max="1294" width="32.44140625" style="1" customWidth="1"/>
    <col min="1295" max="1536" width="9.109375" style="1"/>
    <col min="1537" max="1537" width="2.6640625" style="1" customWidth="1"/>
    <col min="1538" max="1545" width="9.109375" style="1"/>
    <col min="1546" max="1547" width="8.88671875" style="1" customWidth="1"/>
    <col min="1548" max="1549" width="9.109375" style="1"/>
    <col min="1550" max="1550" width="32.44140625" style="1" customWidth="1"/>
    <col min="1551" max="1792" width="9.109375" style="1"/>
    <col min="1793" max="1793" width="2.6640625" style="1" customWidth="1"/>
    <col min="1794" max="1801" width="9.109375" style="1"/>
    <col min="1802" max="1803" width="8.88671875" style="1" customWidth="1"/>
    <col min="1804" max="1805" width="9.109375" style="1"/>
    <col min="1806" max="1806" width="32.44140625" style="1" customWidth="1"/>
    <col min="1807" max="2048" width="9.109375" style="1"/>
    <col min="2049" max="2049" width="2.6640625" style="1" customWidth="1"/>
    <col min="2050" max="2057" width="9.109375" style="1"/>
    <col min="2058" max="2059" width="8.88671875" style="1" customWidth="1"/>
    <col min="2060" max="2061" width="9.109375" style="1"/>
    <col min="2062" max="2062" width="32.44140625" style="1" customWidth="1"/>
    <col min="2063" max="2304" width="9.109375" style="1"/>
    <col min="2305" max="2305" width="2.6640625" style="1" customWidth="1"/>
    <col min="2306" max="2313" width="9.109375" style="1"/>
    <col min="2314" max="2315" width="8.88671875" style="1" customWidth="1"/>
    <col min="2316" max="2317" width="9.109375" style="1"/>
    <col min="2318" max="2318" width="32.44140625" style="1" customWidth="1"/>
    <col min="2319" max="2560" width="9.109375" style="1"/>
    <col min="2561" max="2561" width="2.6640625" style="1" customWidth="1"/>
    <col min="2562" max="2569" width="9.109375" style="1"/>
    <col min="2570" max="2571" width="8.88671875" style="1" customWidth="1"/>
    <col min="2572" max="2573" width="9.109375" style="1"/>
    <col min="2574" max="2574" width="32.44140625" style="1" customWidth="1"/>
    <col min="2575" max="2816" width="9.109375" style="1"/>
    <col min="2817" max="2817" width="2.6640625" style="1" customWidth="1"/>
    <col min="2818" max="2825" width="9.109375" style="1"/>
    <col min="2826" max="2827" width="8.88671875" style="1" customWidth="1"/>
    <col min="2828" max="2829" width="9.109375" style="1"/>
    <col min="2830" max="2830" width="32.44140625" style="1" customWidth="1"/>
    <col min="2831" max="3072" width="9.109375" style="1"/>
    <col min="3073" max="3073" width="2.6640625" style="1" customWidth="1"/>
    <col min="3074" max="3081" width="9.109375" style="1"/>
    <col min="3082" max="3083" width="8.88671875" style="1" customWidth="1"/>
    <col min="3084" max="3085" width="9.109375" style="1"/>
    <col min="3086" max="3086" width="32.44140625" style="1" customWidth="1"/>
    <col min="3087" max="3328" width="9.109375" style="1"/>
    <col min="3329" max="3329" width="2.6640625" style="1" customWidth="1"/>
    <col min="3330" max="3337" width="9.109375" style="1"/>
    <col min="3338" max="3339" width="8.88671875" style="1" customWidth="1"/>
    <col min="3340" max="3341" width="9.109375" style="1"/>
    <col min="3342" max="3342" width="32.44140625" style="1" customWidth="1"/>
    <col min="3343" max="3584" width="9.109375" style="1"/>
    <col min="3585" max="3585" width="2.6640625" style="1" customWidth="1"/>
    <col min="3586" max="3593" width="9.109375" style="1"/>
    <col min="3594" max="3595" width="8.88671875" style="1" customWidth="1"/>
    <col min="3596" max="3597" width="9.109375" style="1"/>
    <col min="3598" max="3598" width="32.44140625" style="1" customWidth="1"/>
    <col min="3599" max="3840" width="9.109375" style="1"/>
    <col min="3841" max="3841" width="2.6640625" style="1" customWidth="1"/>
    <col min="3842" max="3849" width="9.109375" style="1"/>
    <col min="3850" max="3851" width="8.88671875" style="1" customWidth="1"/>
    <col min="3852" max="3853" width="9.109375" style="1"/>
    <col min="3854" max="3854" width="32.44140625" style="1" customWidth="1"/>
    <col min="3855" max="4096" width="9.109375" style="1"/>
    <col min="4097" max="4097" width="2.6640625" style="1" customWidth="1"/>
    <col min="4098" max="4105" width="9.109375" style="1"/>
    <col min="4106" max="4107" width="8.88671875" style="1" customWidth="1"/>
    <col min="4108" max="4109" width="9.109375" style="1"/>
    <col min="4110" max="4110" width="32.44140625" style="1" customWidth="1"/>
    <col min="4111" max="4352" width="9.109375" style="1"/>
    <col min="4353" max="4353" width="2.6640625" style="1" customWidth="1"/>
    <col min="4354" max="4361" width="9.109375" style="1"/>
    <col min="4362" max="4363" width="8.88671875" style="1" customWidth="1"/>
    <col min="4364" max="4365" width="9.109375" style="1"/>
    <col min="4366" max="4366" width="32.44140625" style="1" customWidth="1"/>
    <col min="4367" max="4608" width="9.109375" style="1"/>
    <col min="4609" max="4609" width="2.6640625" style="1" customWidth="1"/>
    <col min="4610" max="4617" width="9.109375" style="1"/>
    <col min="4618" max="4619" width="8.88671875" style="1" customWidth="1"/>
    <col min="4620" max="4621" width="9.109375" style="1"/>
    <col min="4622" max="4622" width="32.44140625" style="1" customWidth="1"/>
    <col min="4623" max="4864" width="9.109375" style="1"/>
    <col min="4865" max="4865" width="2.6640625" style="1" customWidth="1"/>
    <col min="4866" max="4873" width="9.109375" style="1"/>
    <col min="4874" max="4875" width="8.88671875" style="1" customWidth="1"/>
    <col min="4876" max="4877" width="9.109375" style="1"/>
    <col min="4878" max="4878" width="32.44140625" style="1" customWidth="1"/>
    <col min="4879" max="5120" width="9.109375" style="1"/>
    <col min="5121" max="5121" width="2.6640625" style="1" customWidth="1"/>
    <col min="5122" max="5129" width="9.109375" style="1"/>
    <col min="5130" max="5131" width="8.88671875" style="1" customWidth="1"/>
    <col min="5132" max="5133" width="9.109375" style="1"/>
    <col min="5134" max="5134" width="32.44140625" style="1" customWidth="1"/>
    <col min="5135" max="5376" width="9.109375" style="1"/>
    <col min="5377" max="5377" width="2.6640625" style="1" customWidth="1"/>
    <col min="5378" max="5385" width="9.109375" style="1"/>
    <col min="5386" max="5387" width="8.88671875" style="1" customWidth="1"/>
    <col min="5388" max="5389" width="9.109375" style="1"/>
    <col min="5390" max="5390" width="32.44140625" style="1" customWidth="1"/>
    <col min="5391" max="5632" width="9.109375" style="1"/>
    <col min="5633" max="5633" width="2.6640625" style="1" customWidth="1"/>
    <col min="5634" max="5641" width="9.109375" style="1"/>
    <col min="5642" max="5643" width="8.88671875" style="1" customWidth="1"/>
    <col min="5644" max="5645" width="9.109375" style="1"/>
    <col min="5646" max="5646" width="32.44140625" style="1" customWidth="1"/>
    <col min="5647" max="5888" width="9.109375" style="1"/>
    <col min="5889" max="5889" width="2.6640625" style="1" customWidth="1"/>
    <col min="5890" max="5897" width="9.109375" style="1"/>
    <col min="5898" max="5899" width="8.88671875" style="1" customWidth="1"/>
    <col min="5900" max="5901" width="9.109375" style="1"/>
    <col min="5902" max="5902" width="32.44140625" style="1" customWidth="1"/>
    <col min="5903" max="6144" width="9.109375" style="1"/>
    <col min="6145" max="6145" width="2.6640625" style="1" customWidth="1"/>
    <col min="6146" max="6153" width="9.109375" style="1"/>
    <col min="6154" max="6155" width="8.88671875" style="1" customWidth="1"/>
    <col min="6156" max="6157" width="9.109375" style="1"/>
    <col min="6158" max="6158" width="32.44140625" style="1" customWidth="1"/>
    <col min="6159" max="6400" width="9.109375" style="1"/>
    <col min="6401" max="6401" width="2.6640625" style="1" customWidth="1"/>
    <col min="6402" max="6409" width="9.109375" style="1"/>
    <col min="6410" max="6411" width="8.88671875" style="1" customWidth="1"/>
    <col min="6412" max="6413" width="9.109375" style="1"/>
    <col min="6414" max="6414" width="32.44140625" style="1" customWidth="1"/>
    <col min="6415" max="6656" width="9.109375" style="1"/>
    <col min="6657" max="6657" width="2.6640625" style="1" customWidth="1"/>
    <col min="6658" max="6665" width="9.109375" style="1"/>
    <col min="6666" max="6667" width="8.88671875" style="1" customWidth="1"/>
    <col min="6668" max="6669" width="9.109375" style="1"/>
    <col min="6670" max="6670" width="32.44140625" style="1" customWidth="1"/>
    <col min="6671" max="6912" width="9.109375" style="1"/>
    <col min="6913" max="6913" width="2.6640625" style="1" customWidth="1"/>
    <col min="6914" max="6921" width="9.109375" style="1"/>
    <col min="6922" max="6923" width="8.88671875" style="1" customWidth="1"/>
    <col min="6924" max="6925" width="9.109375" style="1"/>
    <col min="6926" max="6926" width="32.44140625" style="1" customWidth="1"/>
    <col min="6927" max="7168" width="9.109375" style="1"/>
    <col min="7169" max="7169" width="2.6640625" style="1" customWidth="1"/>
    <col min="7170" max="7177" width="9.109375" style="1"/>
    <col min="7178" max="7179" width="8.88671875" style="1" customWidth="1"/>
    <col min="7180" max="7181" width="9.109375" style="1"/>
    <col min="7182" max="7182" width="32.44140625" style="1" customWidth="1"/>
    <col min="7183" max="7424" width="9.109375" style="1"/>
    <col min="7425" max="7425" width="2.6640625" style="1" customWidth="1"/>
    <col min="7426" max="7433" width="9.109375" style="1"/>
    <col min="7434" max="7435" width="8.88671875" style="1" customWidth="1"/>
    <col min="7436" max="7437" width="9.109375" style="1"/>
    <col min="7438" max="7438" width="32.44140625" style="1" customWidth="1"/>
    <col min="7439" max="7680" width="9.109375" style="1"/>
    <col min="7681" max="7681" width="2.6640625" style="1" customWidth="1"/>
    <col min="7682" max="7689" width="9.109375" style="1"/>
    <col min="7690" max="7691" width="8.88671875" style="1" customWidth="1"/>
    <col min="7692" max="7693" width="9.109375" style="1"/>
    <col min="7694" max="7694" width="32.44140625" style="1" customWidth="1"/>
    <col min="7695" max="7936" width="9.109375" style="1"/>
    <col min="7937" max="7937" width="2.6640625" style="1" customWidth="1"/>
    <col min="7938" max="7945" width="9.109375" style="1"/>
    <col min="7946" max="7947" width="8.88671875" style="1" customWidth="1"/>
    <col min="7948" max="7949" width="9.109375" style="1"/>
    <col min="7950" max="7950" width="32.44140625" style="1" customWidth="1"/>
    <col min="7951" max="8192" width="9.109375" style="1"/>
    <col min="8193" max="8193" width="2.6640625" style="1" customWidth="1"/>
    <col min="8194" max="8201" width="9.109375" style="1"/>
    <col min="8202" max="8203" width="8.88671875" style="1" customWidth="1"/>
    <col min="8204" max="8205" width="9.109375" style="1"/>
    <col min="8206" max="8206" width="32.44140625" style="1" customWidth="1"/>
    <col min="8207" max="8448" width="9.109375" style="1"/>
    <col min="8449" max="8449" width="2.6640625" style="1" customWidth="1"/>
    <col min="8450" max="8457" width="9.109375" style="1"/>
    <col min="8458" max="8459" width="8.88671875" style="1" customWidth="1"/>
    <col min="8460" max="8461" width="9.109375" style="1"/>
    <col min="8462" max="8462" width="32.44140625" style="1" customWidth="1"/>
    <col min="8463" max="8704" width="9.109375" style="1"/>
    <col min="8705" max="8705" width="2.6640625" style="1" customWidth="1"/>
    <col min="8706" max="8713" width="9.109375" style="1"/>
    <col min="8714" max="8715" width="8.88671875" style="1" customWidth="1"/>
    <col min="8716" max="8717" width="9.109375" style="1"/>
    <col min="8718" max="8718" width="32.44140625" style="1" customWidth="1"/>
    <col min="8719" max="8960" width="9.109375" style="1"/>
    <col min="8961" max="8961" width="2.6640625" style="1" customWidth="1"/>
    <col min="8962" max="8969" width="9.109375" style="1"/>
    <col min="8970" max="8971" width="8.88671875" style="1" customWidth="1"/>
    <col min="8972" max="8973" width="9.109375" style="1"/>
    <col min="8974" max="8974" width="32.44140625" style="1" customWidth="1"/>
    <col min="8975" max="9216" width="9.109375" style="1"/>
    <col min="9217" max="9217" width="2.6640625" style="1" customWidth="1"/>
    <col min="9218" max="9225" width="9.109375" style="1"/>
    <col min="9226" max="9227" width="8.88671875" style="1" customWidth="1"/>
    <col min="9228" max="9229" width="9.109375" style="1"/>
    <col min="9230" max="9230" width="32.44140625" style="1" customWidth="1"/>
    <col min="9231" max="9472" width="9.109375" style="1"/>
    <col min="9473" max="9473" width="2.6640625" style="1" customWidth="1"/>
    <col min="9474" max="9481" width="9.109375" style="1"/>
    <col min="9482" max="9483" width="8.88671875" style="1" customWidth="1"/>
    <col min="9484" max="9485" width="9.109375" style="1"/>
    <col min="9486" max="9486" width="32.44140625" style="1" customWidth="1"/>
    <col min="9487" max="9728" width="9.109375" style="1"/>
    <col min="9729" max="9729" width="2.6640625" style="1" customWidth="1"/>
    <col min="9730" max="9737" width="9.109375" style="1"/>
    <col min="9738" max="9739" width="8.88671875" style="1" customWidth="1"/>
    <col min="9740" max="9741" width="9.109375" style="1"/>
    <col min="9742" max="9742" width="32.44140625" style="1" customWidth="1"/>
    <col min="9743" max="9984" width="9.109375" style="1"/>
    <col min="9985" max="9985" width="2.6640625" style="1" customWidth="1"/>
    <col min="9986" max="9993" width="9.109375" style="1"/>
    <col min="9994" max="9995" width="8.88671875" style="1" customWidth="1"/>
    <col min="9996" max="9997" width="9.109375" style="1"/>
    <col min="9998" max="9998" width="32.44140625" style="1" customWidth="1"/>
    <col min="9999" max="10240" width="9.109375" style="1"/>
    <col min="10241" max="10241" width="2.6640625" style="1" customWidth="1"/>
    <col min="10242" max="10249" width="9.109375" style="1"/>
    <col min="10250" max="10251" width="8.88671875" style="1" customWidth="1"/>
    <col min="10252" max="10253" width="9.109375" style="1"/>
    <col min="10254" max="10254" width="32.44140625" style="1" customWidth="1"/>
    <col min="10255" max="10496" width="9.109375" style="1"/>
    <col min="10497" max="10497" width="2.6640625" style="1" customWidth="1"/>
    <col min="10498" max="10505" width="9.109375" style="1"/>
    <col min="10506" max="10507" width="8.88671875" style="1" customWidth="1"/>
    <col min="10508" max="10509" width="9.109375" style="1"/>
    <col min="10510" max="10510" width="32.44140625" style="1" customWidth="1"/>
    <col min="10511" max="10752" width="9.109375" style="1"/>
    <col min="10753" max="10753" width="2.6640625" style="1" customWidth="1"/>
    <col min="10754" max="10761" width="9.109375" style="1"/>
    <col min="10762" max="10763" width="8.88671875" style="1" customWidth="1"/>
    <col min="10764" max="10765" width="9.109375" style="1"/>
    <col min="10766" max="10766" width="32.44140625" style="1" customWidth="1"/>
    <col min="10767" max="11008" width="9.109375" style="1"/>
    <col min="11009" max="11009" width="2.6640625" style="1" customWidth="1"/>
    <col min="11010" max="11017" width="9.109375" style="1"/>
    <col min="11018" max="11019" width="8.88671875" style="1" customWidth="1"/>
    <col min="11020" max="11021" width="9.109375" style="1"/>
    <col min="11022" max="11022" width="32.44140625" style="1" customWidth="1"/>
    <col min="11023" max="11264" width="9.109375" style="1"/>
    <col min="11265" max="11265" width="2.6640625" style="1" customWidth="1"/>
    <col min="11266" max="11273" width="9.109375" style="1"/>
    <col min="11274" max="11275" width="8.88671875" style="1" customWidth="1"/>
    <col min="11276" max="11277" width="9.109375" style="1"/>
    <col min="11278" max="11278" width="32.44140625" style="1" customWidth="1"/>
    <col min="11279" max="11520" width="9.109375" style="1"/>
    <col min="11521" max="11521" width="2.6640625" style="1" customWidth="1"/>
    <col min="11522" max="11529" width="9.109375" style="1"/>
    <col min="11530" max="11531" width="8.88671875" style="1" customWidth="1"/>
    <col min="11532" max="11533" width="9.109375" style="1"/>
    <col min="11534" max="11534" width="32.44140625" style="1" customWidth="1"/>
    <col min="11535" max="11776" width="9.109375" style="1"/>
    <col min="11777" max="11777" width="2.6640625" style="1" customWidth="1"/>
    <col min="11778" max="11785" width="9.109375" style="1"/>
    <col min="11786" max="11787" width="8.88671875" style="1" customWidth="1"/>
    <col min="11788" max="11789" width="9.109375" style="1"/>
    <col min="11790" max="11790" width="32.44140625" style="1" customWidth="1"/>
    <col min="11791" max="12032" width="9.109375" style="1"/>
    <col min="12033" max="12033" width="2.6640625" style="1" customWidth="1"/>
    <col min="12034" max="12041" width="9.109375" style="1"/>
    <col min="12042" max="12043" width="8.88671875" style="1" customWidth="1"/>
    <col min="12044" max="12045" width="9.109375" style="1"/>
    <col min="12046" max="12046" width="32.44140625" style="1" customWidth="1"/>
    <col min="12047" max="12288" width="9.109375" style="1"/>
    <col min="12289" max="12289" width="2.6640625" style="1" customWidth="1"/>
    <col min="12290" max="12297" width="9.109375" style="1"/>
    <col min="12298" max="12299" width="8.88671875" style="1" customWidth="1"/>
    <col min="12300" max="12301" width="9.109375" style="1"/>
    <col min="12302" max="12302" width="32.44140625" style="1" customWidth="1"/>
    <col min="12303" max="12544" width="9.109375" style="1"/>
    <col min="12545" max="12545" width="2.6640625" style="1" customWidth="1"/>
    <col min="12546" max="12553" width="9.109375" style="1"/>
    <col min="12554" max="12555" width="8.88671875" style="1" customWidth="1"/>
    <col min="12556" max="12557" width="9.109375" style="1"/>
    <col min="12558" max="12558" width="32.44140625" style="1" customWidth="1"/>
    <col min="12559" max="12800" width="9.109375" style="1"/>
    <col min="12801" max="12801" width="2.6640625" style="1" customWidth="1"/>
    <col min="12802" max="12809" width="9.109375" style="1"/>
    <col min="12810" max="12811" width="8.88671875" style="1" customWidth="1"/>
    <col min="12812" max="12813" width="9.109375" style="1"/>
    <col min="12814" max="12814" width="32.44140625" style="1" customWidth="1"/>
    <col min="12815" max="13056" width="9.109375" style="1"/>
    <col min="13057" max="13057" width="2.6640625" style="1" customWidth="1"/>
    <col min="13058" max="13065" width="9.109375" style="1"/>
    <col min="13066" max="13067" width="8.88671875" style="1" customWidth="1"/>
    <col min="13068" max="13069" width="9.109375" style="1"/>
    <col min="13070" max="13070" width="32.44140625" style="1" customWidth="1"/>
    <col min="13071" max="13312" width="9.109375" style="1"/>
    <col min="13313" max="13313" width="2.6640625" style="1" customWidth="1"/>
    <col min="13314" max="13321" width="9.109375" style="1"/>
    <col min="13322" max="13323" width="8.88671875" style="1" customWidth="1"/>
    <col min="13324" max="13325" width="9.109375" style="1"/>
    <col min="13326" max="13326" width="32.44140625" style="1" customWidth="1"/>
    <col min="13327" max="13568" width="9.109375" style="1"/>
    <col min="13569" max="13569" width="2.6640625" style="1" customWidth="1"/>
    <col min="13570" max="13577" width="9.109375" style="1"/>
    <col min="13578" max="13579" width="8.88671875" style="1" customWidth="1"/>
    <col min="13580" max="13581" width="9.109375" style="1"/>
    <col min="13582" max="13582" width="32.44140625" style="1" customWidth="1"/>
    <col min="13583" max="13824" width="9.109375" style="1"/>
    <col min="13825" max="13825" width="2.6640625" style="1" customWidth="1"/>
    <col min="13826" max="13833" width="9.109375" style="1"/>
    <col min="13834" max="13835" width="8.88671875" style="1" customWidth="1"/>
    <col min="13836" max="13837" width="9.109375" style="1"/>
    <col min="13838" max="13838" width="32.44140625" style="1" customWidth="1"/>
    <col min="13839" max="14080" width="9.109375" style="1"/>
    <col min="14081" max="14081" width="2.6640625" style="1" customWidth="1"/>
    <col min="14082" max="14089" width="9.109375" style="1"/>
    <col min="14090" max="14091" width="8.88671875" style="1" customWidth="1"/>
    <col min="14092" max="14093" width="9.109375" style="1"/>
    <col min="14094" max="14094" width="32.44140625" style="1" customWidth="1"/>
    <col min="14095" max="14336" width="9.109375" style="1"/>
    <col min="14337" max="14337" width="2.6640625" style="1" customWidth="1"/>
    <col min="14338" max="14345" width="9.109375" style="1"/>
    <col min="14346" max="14347" width="8.88671875" style="1" customWidth="1"/>
    <col min="14348" max="14349" width="9.109375" style="1"/>
    <col min="14350" max="14350" width="32.44140625" style="1" customWidth="1"/>
    <col min="14351" max="14592" width="9.109375" style="1"/>
    <col min="14593" max="14593" width="2.6640625" style="1" customWidth="1"/>
    <col min="14594" max="14601" width="9.109375" style="1"/>
    <col min="14602" max="14603" width="8.88671875" style="1" customWidth="1"/>
    <col min="14604" max="14605" width="9.109375" style="1"/>
    <col min="14606" max="14606" width="32.44140625" style="1" customWidth="1"/>
    <col min="14607" max="14848" width="9.109375" style="1"/>
    <col min="14849" max="14849" width="2.6640625" style="1" customWidth="1"/>
    <col min="14850" max="14857" width="9.109375" style="1"/>
    <col min="14858" max="14859" width="8.88671875" style="1" customWidth="1"/>
    <col min="14860" max="14861" width="9.109375" style="1"/>
    <col min="14862" max="14862" width="32.44140625" style="1" customWidth="1"/>
    <col min="14863" max="15104" width="9.109375" style="1"/>
    <col min="15105" max="15105" width="2.6640625" style="1" customWidth="1"/>
    <col min="15106" max="15113" width="9.109375" style="1"/>
    <col min="15114" max="15115" width="8.88671875" style="1" customWidth="1"/>
    <col min="15116" max="15117" width="9.109375" style="1"/>
    <col min="15118" max="15118" width="32.44140625" style="1" customWidth="1"/>
    <col min="15119" max="15360" width="9.109375" style="1"/>
    <col min="15361" max="15361" width="2.6640625" style="1" customWidth="1"/>
    <col min="15362" max="15369" width="9.109375" style="1"/>
    <col min="15370" max="15371" width="8.88671875" style="1" customWidth="1"/>
    <col min="15372" max="15373" width="9.109375" style="1"/>
    <col min="15374" max="15374" width="32.44140625" style="1" customWidth="1"/>
    <col min="15375" max="15616" width="9.109375" style="1"/>
    <col min="15617" max="15617" width="2.6640625" style="1" customWidth="1"/>
    <col min="15618" max="15625" width="9.109375" style="1"/>
    <col min="15626" max="15627" width="8.88671875" style="1" customWidth="1"/>
    <col min="15628" max="15629" width="9.109375" style="1"/>
    <col min="15630" max="15630" width="32.44140625" style="1" customWidth="1"/>
    <col min="15631" max="15872" width="9.109375" style="1"/>
    <col min="15873" max="15873" width="2.6640625" style="1" customWidth="1"/>
    <col min="15874" max="15881" width="9.109375" style="1"/>
    <col min="15882" max="15883" width="8.88671875" style="1" customWidth="1"/>
    <col min="15884" max="15885" width="9.109375" style="1"/>
    <col min="15886" max="15886" width="32.44140625" style="1" customWidth="1"/>
    <col min="15887" max="16128" width="9.109375" style="1"/>
    <col min="16129" max="16129" width="2.6640625" style="1" customWidth="1"/>
    <col min="16130" max="16137" width="9.109375" style="1"/>
    <col min="16138" max="16139" width="8.88671875" style="1" customWidth="1"/>
    <col min="16140" max="16141" width="9.109375" style="1"/>
    <col min="16142" max="16142" width="32.44140625" style="1" customWidth="1"/>
    <col min="16143" max="16384" width="9.109375" style="1"/>
  </cols>
  <sheetData>
    <row r="1" spans="1:11" ht="18" thickBot="1">
      <c r="A1" s="3" t="str">
        <f ca="1">MID(CELL("filename",A1),FIND("]",CELL("filename",A1))+1,256)</f>
        <v>VlookUp</v>
      </c>
      <c r="B1" s="4"/>
      <c r="C1" s="4"/>
      <c r="D1" s="4"/>
      <c r="E1" s="4"/>
      <c r="F1" s="4"/>
      <c r="G1" s="4"/>
      <c r="H1" s="4"/>
      <c r="I1" s="4"/>
      <c r="J1" s="4"/>
      <c r="K1" s="22"/>
    </row>
    <row r="2" spans="1:11" ht="13.8"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8" thickBot="1">
      <c r="B17" s="5" t="s">
        <v>6</v>
      </c>
      <c r="C17" s="5"/>
      <c r="D17" s="5"/>
      <c r="E17" s="5"/>
      <c r="F17" s="5"/>
      <c r="G17" s="5"/>
      <c r="H17" s="5"/>
      <c r="I17" s="5"/>
      <c r="J17" s="5"/>
      <c r="K17" s="21"/>
    </row>
    <row r="18" spans="2:15">
      <c r="B18" s="6" t="s">
        <v>37</v>
      </c>
    </row>
    <row r="19" spans="2:15">
      <c r="B19" s="1" t="s">
        <v>38</v>
      </c>
    </row>
    <row r="21" spans="2:15" ht="13.8"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8"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8"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8" thickBot="1">
      <c r="B70" s="25" t="s">
        <v>87</v>
      </c>
      <c r="C70" s="25" t="s">
        <v>88</v>
      </c>
      <c r="D70" s="25" t="s">
        <v>89</v>
      </c>
      <c r="F70" s="1" t="s">
        <v>90</v>
      </c>
    </row>
    <row r="71" spans="2:9" ht="14.4" thickTop="1" thickBot="1">
      <c r="B71" s="33" t="s">
        <v>91</v>
      </c>
      <c r="C71" s="34" t="s">
        <v>92</v>
      </c>
      <c r="D71" s="35">
        <f>VLOOKUP(C71,F72:I76,MATCH(B71,G71:I71,0)+1,FALSE)</f>
        <v>50</v>
      </c>
      <c r="G71" s="36" t="s">
        <v>91</v>
      </c>
      <c r="H71" s="37" t="s">
        <v>93</v>
      </c>
      <c r="I71" s="38" t="s">
        <v>94</v>
      </c>
    </row>
    <row r="72" spans="2:9" ht="13.8"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8" thickBot="1">
      <c r="B76" s="33" t="s">
        <v>93</v>
      </c>
      <c r="C76" s="34" t="s">
        <v>98</v>
      </c>
      <c r="D76" s="35">
        <f>VLOOKUP(C76,F72:I76,MATCH(B76,G71:I71,0)+1,FALSE)</f>
        <v>290</v>
      </c>
      <c r="F76" s="44" t="s">
        <v>98</v>
      </c>
      <c r="G76" s="45">
        <v>300</v>
      </c>
      <c r="H76" s="45">
        <v>290</v>
      </c>
      <c r="I76" s="46">
        <v>310</v>
      </c>
    </row>
    <row r="77" spans="2:9" ht="13.8"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8"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8" thickBot="1">
      <c r="G109" s="47" t="s">
        <v>123</v>
      </c>
      <c r="H109" s="47"/>
      <c r="I109" s="47"/>
    </row>
    <row r="110" spans="2:9" ht="14.4" thickTop="1" thickBot="1">
      <c r="C110" s="47" t="s">
        <v>124</v>
      </c>
      <c r="D110" s="47"/>
      <c r="G110" s="48" t="s">
        <v>125</v>
      </c>
      <c r="H110" s="49" t="s">
        <v>126</v>
      </c>
      <c r="I110" s="50" t="s">
        <v>127</v>
      </c>
    </row>
    <row r="111" spans="2:9" ht="13.8"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8" thickBot="1">
      <c r="C113" s="61" t="s">
        <v>127</v>
      </c>
      <c r="D113" s="62">
        <v>3</v>
      </c>
      <c r="F113" s="63">
        <v>300</v>
      </c>
      <c r="G113" s="64">
        <v>0.08</v>
      </c>
      <c r="H113" s="64">
        <v>0.05</v>
      </c>
      <c r="I113" s="65">
        <v>0.15</v>
      </c>
    </row>
    <row r="114" spans="2:9" ht="13.8"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3.2"/>
  <cols>
    <col min="1" max="1" width="4.6640625" style="1" customWidth="1"/>
    <col min="2" max="10" width="9.109375" style="1"/>
    <col min="11" max="11" width="5.33203125" style="1" customWidth="1"/>
    <col min="12" max="12" width="30.109375" style="1" customWidth="1"/>
    <col min="13" max="13" width="8.88671875" style="1" customWidth="1"/>
    <col min="14" max="256" width="9.109375" style="1"/>
    <col min="257" max="257" width="4.6640625" style="1" customWidth="1"/>
    <col min="258" max="266" width="9.109375" style="1"/>
    <col min="267" max="267" width="5.33203125" style="1" customWidth="1"/>
    <col min="268" max="268" width="30.109375" style="1" customWidth="1"/>
    <col min="269" max="269" width="8.88671875" style="1" customWidth="1"/>
    <col min="270" max="512" width="9.109375" style="1"/>
    <col min="513" max="513" width="4.6640625" style="1" customWidth="1"/>
    <col min="514" max="522" width="9.109375" style="1"/>
    <col min="523" max="523" width="5.33203125" style="1" customWidth="1"/>
    <col min="524" max="524" width="30.109375" style="1" customWidth="1"/>
    <col min="525" max="525" width="8.88671875" style="1" customWidth="1"/>
    <col min="526" max="768" width="9.109375" style="1"/>
    <col min="769" max="769" width="4.6640625" style="1" customWidth="1"/>
    <col min="770" max="778" width="9.109375" style="1"/>
    <col min="779" max="779" width="5.33203125" style="1" customWidth="1"/>
    <col min="780" max="780" width="30.109375" style="1" customWidth="1"/>
    <col min="781" max="781" width="8.88671875" style="1" customWidth="1"/>
    <col min="782" max="1024" width="9.109375" style="1"/>
    <col min="1025" max="1025" width="4.6640625" style="1" customWidth="1"/>
    <col min="1026" max="1034" width="9.109375" style="1"/>
    <col min="1035" max="1035" width="5.33203125" style="1" customWidth="1"/>
    <col min="1036" max="1036" width="30.109375" style="1" customWidth="1"/>
    <col min="1037" max="1037" width="8.88671875" style="1" customWidth="1"/>
    <col min="1038" max="1280" width="9.109375" style="1"/>
    <col min="1281" max="1281" width="4.6640625" style="1" customWidth="1"/>
    <col min="1282" max="1290" width="9.109375" style="1"/>
    <col min="1291" max="1291" width="5.33203125" style="1" customWidth="1"/>
    <col min="1292" max="1292" width="30.109375" style="1" customWidth="1"/>
    <col min="1293" max="1293" width="8.88671875" style="1" customWidth="1"/>
    <col min="1294" max="1536" width="9.109375" style="1"/>
    <col min="1537" max="1537" width="4.6640625" style="1" customWidth="1"/>
    <col min="1538" max="1546" width="9.109375" style="1"/>
    <col min="1547" max="1547" width="5.33203125" style="1" customWidth="1"/>
    <col min="1548" max="1548" width="30.109375" style="1" customWidth="1"/>
    <col min="1549" max="1549" width="8.88671875" style="1" customWidth="1"/>
    <col min="1550" max="1792" width="9.109375" style="1"/>
    <col min="1793" max="1793" width="4.6640625" style="1" customWidth="1"/>
    <col min="1794" max="1802" width="9.109375" style="1"/>
    <col min="1803" max="1803" width="5.33203125" style="1" customWidth="1"/>
    <col min="1804" max="1804" width="30.109375" style="1" customWidth="1"/>
    <col min="1805" max="1805" width="8.88671875" style="1" customWidth="1"/>
    <col min="1806" max="2048" width="9.109375" style="1"/>
    <col min="2049" max="2049" width="4.6640625" style="1" customWidth="1"/>
    <col min="2050" max="2058" width="9.109375" style="1"/>
    <col min="2059" max="2059" width="5.33203125" style="1" customWidth="1"/>
    <col min="2060" max="2060" width="30.109375" style="1" customWidth="1"/>
    <col min="2061" max="2061" width="8.88671875" style="1" customWidth="1"/>
    <col min="2062" max="2304" width="9.109375" style="1"/>
    <col min="2305" max="2305" width="4.6640625" style="1" customWidth="1"/>
    <col min="2306" max="2314" width="9.109375" style="1"/>
    <col min="2315" max="2315" width="5.33203125" style="1" customWidth="1"/>
    <col min="2316" max="2316" width="30.109375" style="1" customWidth="1"/>
    <col min="2317" max="2317" width="8.88671875" style="1" customWidth="1"/>
    <col min="2318" max="2560" width="9.109375" style="1"/>
    <col min="2561" max="2561" width="4.6640625" style="1" customWidth="1"/>
    <col min="2562" max="2570" width="9.109375" style="1"/>
    <col min="2571" max="2571" width="5.33203125" style="1" customWidth="1"/>
    <col min="2572" max="2572" width="30.109375" style="1" customWidth="1"/>
    <col min="2573" max="2573" width="8.88671875" style="1" customWidth="1"/>
    <col min="2574" max="2816" width="9.109375" style="1"/>
    <col min="2817" max="2817" width="4.6640625" style="1" customWidth="1"/>
    <col min="2818" max="2826" width="9.109375" style="1"/>
    <col min="2827" max="2827" width="5.33203125" style="1" customWidth="1"/>
    <col min="2828" max="2828" width="30.109375" style="1" customWidth="1"/>
    <col min="2829" max="2829" width="8.88671875" style="1" customWidth="1"/>
    <col min="2830" max="3072" width="9.109375" style="1"/>
    <col min="3073" max="3073" width="4.6640625" style="1" customWidth="1"/>
    <col min="3074" max="3082" width="9.109375" style="1"/>
    <col min="3083" max="3083" width="5.33203125" style="1" customWidth="1"/>
    <col min="3084" max="3084" width="30.109375" style="1" customWidth="1"/>
    <col min="3085" max="3085" width="8.88671875" style="1" customWidth="1"/>
    <col min="3086" max="3328" width="9.109375" style="1"/>
    <col min="3329" max="3329" width="4.6640625" style="1" customWidth="1"/>
    <col min="3330" max="3338" width="9.109375" style="1"/>
    <col min="3339" max="3339" width="5.33203125" style="1" customWidth="1"/>
    <col min="3340" max="3340" width="30.109375" style="1" customWidth="1"/>
    <col min="3341" max="3341" width="8.88671875" style="1" customWidth="1"/>
    <col min="3342" max="3584" width="9.109375" style="1"/>
    <col min="3585" max="3585" width="4.6640625" style="1" customWidth="1"/>
    <col min="3586" max="3594" width="9.109375" style="1"/>
    <col min="3595" max="3595" width="5.33203125" style="1" customWidth="1"/>
    <col min="3596" max="3596" width="30.109375" style="1" customWidth="1"/>
    <col min="3597" max="3597" width="8.88671875" style="1" customWidth="1"/>
    <col min="3598" max="3840" width="9.109375" style="1"/>
    <col min="3841" max="3841" width="4.6640625" style="1" customWidth="1"/>
    <col min="3842" max="3850" width="9.109375" style="1"/>
    <col min="3851" max="3851" width="5.33203125" style="1" customWidth="1"/>
    <col min="3852" max="3852" width="30.109375" style="1" customWidth="1"/>
    <col min="3853" max="3853" width="8.88671875" style="1" customWidth="1"/>
    <col min="3854" max="4096" width="9.109375" style="1"/>
    <col min="4097" max="4097" width="4.6640625" style="1" customWidth="1"/>
    <col min="4098" max="4106" width="9.109375" style="1"/>
    <col min="4107" max="4107" width="5.33203125" style="1" customWidth="1"/>
    <col min="4108" max="4108" width="30.109375" style="1" customWidth="1"/>
    <col min="4109" max="4109" width="8.88671875" style="1" customWidth="1"/>
    <col min="4110" max="4352" width="9.109375" style="1"/>
    <col min="4353" max="4353" width="4.6640625" style="1" customWidth="1"/>
    <col min="4354" max="4362" width="9.109375" style="1"/>
    <col min="4363" max="4363" width="5.33203125" style="1" customWidth="1"/>
    <col min="4364" max="4364" width="30.109375" style="1" customWidth="1"/>
    <col min="4365" max="4365" width="8.88671875" style="1" customWidth="1"/>
    <col min="4366" max="4608" width="9.109375" style="1"/>
    <col min="4609" max="4609" width="4.6640625" style="1" customWidth="1"/>
    <col min="4610" max="4618" width="9.109375" style="1"/>
    <col min="4619" max="4619" width="5.33203125" style="1" customWidth="1"/>
    <col min="4620" max="4620" width="30.109375" style="1" customWidth="1"/>
    <col min="4621" max="4621" width="8.88671875" style="1" customWidth="1"/>
    <col min="4622" max="4864" width="9.109375" style="1"/>
    <col min="4865" max="4865" width="4.6640625" style="1" customWidth="1"/>
    <col min="4866" max="4874" width="9.109375" style="1"/>
    <col min="4875" max="4875" width="5.33203125" style="1" customWidth="1"/>
    <col min="4876" max="4876" width="30.109375" style="1" customWidth="1"/>
    <col min="4877" max="4877" width="8.88671875" style="1" customWidth="1"/>
    <col min="4878" max="5120" width="9.109375" style="1"/>
    <col min="5121" max="5121" width="4.6640625" style="1" customWidth="1"/>
    <col min="5122" max="5130" width="9.109375" style="1"/>
    <col min="5131" max="5131" width="5.33203125" style="1" customWidth="1"/>
    <col min="5132" max="5132" width="30.109375" style="1" customWidth="1"/>
    <col min="5133" max="5133" width="8.88671875" style="1" customWidth="1"/>
    <col min="5134" max="5376" width="9.109375" style="1"/>
    <col min="5377" max="5377" width="4.6640625" style="1" customWidth="1"/>
    <col min="5378" max="5386" width="9.109375" style="1"/>
    <col min="5387" max="5387" width="5.33203125" style="1" customWidth="1"/>
    <col min="5388" max="5388" width="30.109375" style="1" customWidth="1"/>
    <col min="5389" max="5389" width="8.88671875" style="1" customWidth="1"/>
    <col min="5390" max="5632" width="9.109375" style="1"/>
    <col min="5633" max="5633" width="4.6640625" style="1" customWidth="1"/>
    <col min="5634" max="5642" width="9.109375" style="1"/>
    <col min="5643" max="5643" width="5.33203125" style="1" customWidth="1"/>
    <col min="5644" max="5644" width="30.109375" style="1" customWidth="1"/>
    <col min="5645" max="5645" width="8.88671875" style="1" customWidth="1"/>
    <col min="5646" max="5888" width="9.109375" style="1"/>
    <col min="5889" max="5889" width="4.6640625" style="1" customWidth="1"/>
    <col min="5890" max="5898" width="9.109375" style="1"/>
    <col min="5899" max="5899" width="5.33203125" style="1" customWidth="1"/>
    <col min="5900" max="5900" width="30.109375" style="1" customWidth="1"/>
    <col min="5901" max="5901" width="8.88671875" style="1" customWidth="1"/>
    <col min="5902" max="6144" width="9.109375" style="1"/>
    <col min="6145" max="6145" width="4.6640625" style="1" customWidth="1"/>
    <col min="6146" max="6154" width="9.109375" style="1"/>
    <col min="6155" max="6155" width="5.33203125" style="1" customWidth="1"/>
    <col min="6156" max="6156" width="30.109375" style="1" customWidth="1"/>
    <col min="6157" max="6157" width="8.88671875" style="1" customWidth="1"/>
    <col min="6158" max="6400" width="9.109375" style="1"/>
    <col min="6401" max="6401" width="4.6640625" style="1" customWidth="1"/>
    <col min="6402" max="6410" width="9.109375" style="1"/>
    <col min="6411" max="6411" width="5.33203125" style="1" customWidth="1"/>
    <col min="6412" max="6412" width="30.109375" style="1" customWidth="1"/>
    <col min="6413" max="6413" width="8.88671875" style="1" customWidth="1"/>
    <col min="6414" max="6656" width="9.109375" style="1"/>
    <col min="6657" max="6657" width="4.6640625" style="1" customWidth="1"/>
    <col min="6658" max="6666" width="9.109375" style="1"/>
    <col min="6667" max="6667" width="5.33203125" style="1" customWidth="1"/>
    <col min="6668" max="6668" width="30.109375" style="1" customWidth="1"/>
    <col min="6669" max="6669" width="8.88671875" style="1" customWidth="1"/>
    <col min="6670" max="6912" width="9.109375" style="1"/>
    <col min="6913" max="6913" width="4.6640625" style="1" customWidth="1"/>
    <col min="6914" max="6922" width="9.109375" style="1"/>
    <col min="6923" max="6923" width="5.33203125" style="1" customWidth="1"/>
    <col min="6924" max="6924" width="30.109375" style="1" customWidth="1"/>
    <col min="6925" max="6925" width="8.88671875" style="1" customWidth="1"/>
    <col min="6926" max="7168" width="9.109375" style="1"/>
    <col min="7169" max="7169" width="4.6640625" style="1" customWidth="1"/>
    <col min="7170" max="7178" width="9.109375" style="1"/>
    <col min="7179" max="7179" width="5.33203125" style="1" customWidth="1"/>
    <col min="7180" max="7180" width="30.109375" style="1" customWidth="1"/>
    <col min="7181" max="7181" width="8.88671875" style="1" customWidth="1"/>
    <col min="7182" max="7424" width="9.109375" style="1"/>
    <col min="7425" max="7425" width="4.6640625" style="1" customWidth="1"/>
    <col min="7426" max="7434" width="9.109375" style="1"/>
    <col min="7435" max="7435" width="5.33203125" style="1" customWidth="1"/>
    <col min="7436" max="7436" width="30.109375" style="1" customWidth="1"/>
    <col min="7437" max="7437" width="8.88671875" style="1" customWidth="1"/>
    <col min="7438" max="7680" width="9.109375" style="1"/>
    <col min="7681" max="7681" width="4.6640625" style="1" customWidth="1"/>
    <col min="7682" max="7690" width="9.109375" style="1"/>
    <col min="7691" max="7691" width="5.33203125" style="1" customWidth="1"/>
    <col min="7692" max="7692" width="30.109375" style="1" customWidth="1"/>
    <col min="7693" max="7693" width="8.88671875" style="1" customWidth="1"/>
    <col min="7694" max="7936" width="9.109375" style="1"/>
    <col min="7937" max="7937" width="4.6640625" style="1" customWidth="1"/>
    <col min="7938" max="7946" width="9.109375" style="1"/>
    <col min="7947" max="7947" width="5.33203125" style="1" customWidth="1"/>
    <col min="7948" max="7948" width="30.109375" style="1" customWidth="1"/>
    <col min="7949" max="7949" width="8.88671875" style="1" customWidth="1"/>
    <col min="7950" max="8192" width="9.109375" style="1"/>
    <col min="8193" max="8193" width="4.6640625" style="1" customWidth="1"/>
    <col min="8194" max="8202" width="9.109375" style="1"/>
    <col min="8203" max="8203" width="5.33203125" style="1" customWidth="1"/>
    <col min="8204" max="8204" width="30.109375" style="1" customWidth="1"/>
    <col min="8205" max="8205" width="8.88671875" style="1" customWidth="1"/>
    <col min="8206" max="8448" width="9.109375" style="1"/>
    <col min="8449" max="8449" width="4.6640625" style="1" customWidth="1"/>
    <col min="8450" max="8458" width="9.109375" style="1"/>
    <col min="8459" max="8459" width="5.33203125" style="1" customWidth="1"/>
    <col min="8460" max="8460" width="30.109375" style="1" customWidth="1"/>
    <col min="8461" max="8461" width="8.88671875" style="1" customWidth="1"/>
    <col min="8462" max="8704" width="9.109375" style="1"/>
    <col min="8705" max="8705" width="4.6640625" style="1" customWidth="1"/>
    <col min="8706" max="8714" width="9.109375" style="1"/>
    <col min="8715" max="8715" width="5.33203125" style="1" customWidth="1"/>
    <col min="8716" max="8716" width="30.109375" style="1" customWidth="1"/>
    <col min="8717" max="8717" width="8.88671875" style="1" customWidth="1"/>
    <col min="8718" max="8960" width="9.109375" style="1"/>
    <col min="8961" max="8961" width="4.6640625" style="1" customWidth="1"/>
    <col min="8962" max="8970" width="9.109375" style="1"/>
    <col min="8971" max="8971" width="5.33203125" style="1" customWidth="1"/>
    <col min="8972" max="8972" width="30.109375" style="1" customWidth="1"/>
    <col min="8973" max="8973" width="8.88671875" style="1" customWidth="1"/>
    <col min="8974" max="9216" width="9.109375" style="1"/>
    <col min="9217" max="9217" width="4.6640625" style="1" customWidth="1"/>
    <col min="9218" max="9226" width="9.109375" style="1"/>
    <col min="9227" max="9227" width="5.33203125" style="1" customWidth="1"/>
    <col min="9228" max="9228" width="30.109375" style="1" customWidth="1"/>
    <col min="9229" max="9229" width="8.88671875" style="1" customWidth="1"/>
    <col min="9230" max="9472" width="9.109375" style="1"/>
    <col min="9473" max="9473" width="4.6640625" style="1" customWidth="1"/>
    <col min="9474" max="9482" width="9.109375" style="1"/>
    <col min="9483" max="9483" width="5.33203125" style="1" customWidth="1"/>
    <col min="9484" max="9484" width="30.109375" style="1" customWidth="1"/>
    <col min="9485" max="9485" width="8.88671875" style="1" customWidth="1"/>
    <col min="9486" max="9728" width="9.109375" style="1"/>
    <col min="9729" max="9729" width="4.6640625" style="1" customWidth="1"/>
    <col min="9730" max="9738" width="9.109375" style="1"/>
    <col min="9739" max="9739" width="5.33203125" style="1" customWidth="1"/>
    <col min="9740" max="9740" width="30.109375" style="1" customWidth="1"/>
    <col min="9741" max="9741" width="8.88671875" style="1" customWidth="1"/>
    <col min="9742" max="9984" width="9.109375" style="1"/>
    <col min="9985" max="9985" width="4.6640625" style="1" customWidth="1"/>
    <col min="9986" max="9994" width="9.109375" style="1"/>
    <col min="9995" max="9995" width="5.33203125" style="1" customWidth="1"/>
    <col min="9996" max="9996" width="30.109375" style="1" customWidth="1"/>
    <col min="9997" max="9997" width="8.88671875" style="1" customWidth="1"/>
    <col min="9998" max="10240" width="9.109375" style="1"/>
    <col min="10241" max="10241" width="4.6640625" style="1" customWidth="1"/>
    <col min="10242" max="10250" width="9.109375" style="1"/>
    <col min="10251" max="10251" width="5.33203125" style="1" customWidth="1"/>
    <col min="10252" max="10252" width="30.109375" style="1" customWidth="1"/>
    <col min="10253" max="10253" width="8.88671875" style="1" customWidth="1"/>
    <col min="10254" max="10496" width="9.109375" style="1"/>
    <col min="10497" max="10497" width="4.6640625" style="1" customWidth="1"/>
    <col min="10498" max="10506" width="9.109375" style="1"/>
    <col min="10507" max="10507" width="5.33203125" style="1" customWidth="1"/>
    <col min="10508" max="10508" width="30.109375" style="1" customWidth="1"/>
    <col min="10509" max="10509" width="8.88671875" style="1" customWidth="1"/>
    <col min="10510" max="10752" width="9.109375" style="1"/>
    <col min="10753" max="10753" width="4.6640625" style="1" customWidth="1"/>
    <col min="10754" max="10762" width="9.109375" style="1"/>
    <col min="10763" max="10763" width="5.33203125" style="1" customWidth="1"/>
    <col min="10764" max="10764" width="30.109375" style="1" customWidth="1"/>
    <col min="10765" max="10765" width="8.88671875" style="1" customWidth="1"/>
    <col min="10766" max="11008" width="9.109375" style="1"/>
    <col min="11009" max="11009" width="4.6640625" style="1" customWidth="1"/>
    <col min="11010" max="11018" width="9.109375" style="1"/>
    <col min="11019" max="11019" width="5.33203125" style="1" customWidth="1"/>
    <col min="11020" max="11020" width="30.109375" style="1" customWidth="1"/>
    <col min="11021" max="11021" width="8.88671875" style="1" customWidth="1"/>
    <col min="11022" max="11264" width="9.109375" style="1"/>
    <col min="11265" max="11265" width="4.6640625" style="1" customWidth="1"/>
    <col min="11266" max="11274" width="9.109375" style="1"/>
    <col min="11275" max="11275" width="5.33203125" style="1" customWidth="1"/>
    <col min="11276" max="11276" width="30.109375" style="1" customWidth="1"/>
    <col min="11277" max="11277" width="8.88671875" style="1" customWidth="1"/>
    <col min="11278" max="11520" width="9.109375" style="1"/>
    <col min="11521" max="11521" width="4.6640625" style="1" customWidth="1"/>
    <col min="11522" max="11530" width="9.109375" style="1"/>
    <col min="11531" max="11531" width="5.33203125" style="1" customWidth="1"/>
    <col min="11532" max="11532" width="30.109375" style="1" customWidth="1"/>
    <col min="11533" max="11533" width="8.88671875" style="1" customWidth="1"/>
    <col min="11534" max="11776" width="9.109375" style="1"/>
    <col min="11777" max="11777" width="4.6640625" style="1" customWidth="1"/>
    <col min="11778" max="11786" width="9.109375" style="1"/>
    <col min="11787" max="11787" width="5.33203125" style="1" customWidth="1"/>
    <col min="11788" max="11788" width="30.109375" style="1" customWidth="1"/>
    <col min="11789" max="11789" width="8.88671875" style="1" customWidth="1"/>
    <col min="11790" max="12032" width="9.109375" style="1"/>
    <col min="12033" max="12033" width="4.6640625" style="1" customWidth="1"/>
    <col min="12034" max="12042" width="9.109375" style="1"/>
    <col min="12043" max="12043" width="5.33203125" style="1" customWidth="1"/>
    <col min="12044" max="12044" width="30.109375" style="1" customWidth="1"/>
    <col min="12045" max="12045" width="8.88671875" style="1" customWidth="1"/>
    <col min="12046" max="12288" width="9.109375" style="1"/>
    <col min="12289" max="12289" width="4.6640625" style="1" customWidth="1"/>
    <col min="12290" max="12298" width="9.109375" style="1"/>
    <col min="12299" max="12299" width="5.33203125" style="1" customWidth="1"/>
    <col min="12300" max="12300" width="30.109375" style="1" customWidth="1"/>
    <col min="12301" max="12301" width="8.88671875" style="1" customWidth="1"/>
    <col min="12302" max="12544" width="9.109375" style="1"/>
    <col min="12545" max="12545" width="4.6640625" style="1" customWidth="1"/>
    <col min="12546" max="12554" width="9.109375" style="1"/>
    <col min="12555" max="12555" width="5.33203125" style="1" customWidth="1"/>
    <col min="12556" max="12556" width="30.109375" style="1" customWidth="1"/>
    <col min="12557" max="12557" width="8.88671875" style="1" customWidth="1"/>
    <col min="12558" max="12800" width="9.109375" style="1"/>
    <col min="12801" max="12801" width="4.6640625" style="1" customWidth="1"/>
    <col min="12802" max="12810" width="9.109375" style="1"/>
    <col min="12811" max="12811" width="5.33203125" style="1" customWidth="1"/>
    <col min="12812" max="12812" width="30.109375" style="1" customWidth="1"/>
    <col min="12813" max="12813" width="8.88671875" style="1" customWidth="1"/>
    <col min="12814" max="13056" width="9.109375" style="1"/>
    <col min="13057" max="13057" width="4.6640625" style="1" customWidth="1"/>
    <col min="13058" max="13066" width="9.109375" style="1"/>
    <col min="13067" max="13067" width="5.33203125" style="1" customWidth="1"/>
    <col min="13068" max="13068" width="30.109375" style="1" customWidth="1"/>
    <col min="13069" max="13069" width="8.88671875" style="1" customWidth="1"/>
    <col min="13070" max="13312" width="9.109375" style="1"/>
    <col min="13313" max="13313" width="4.6640625" style="1" customWidth="1"/>
    <col min="13314" max="13322" width="9.109375" style="1"/>
    <col min="13323" max="13323" width="5.33203125" style="1" customWidth="1"/>
    <col min="13324" max="13324" width="30.109375" style="1" customWidth="1"/>
    <col min="13325" max="13325" width="8.88671875" style="1" customWidth="1"/>
    <col min="13326" max="13568" width="9.109375" style="1"/>
    <col min="13569" max="13569" width="4.6640625" style="1" customWidth="1"/>
    <col min="13570" max="13578" width="9.109375" style="1"/>
    <col min="13579" max="13579" width="5.33203125" style="1" customWidth="1"/>
    <col min="13580" max="13580" width="30.109375" style="1" customWidth="1"/>
    <col min="13581" max="13581" width="8.88671875" style="1" customWidth="1"/>
    <col min="13582" max="13824" width="9.109375" style="1"/>
    <col min="13825" max="13825" width="4.6640625" style="1" customWidth="1"/>
    <col min="13826" max="13834" width="9.109375" style="1"/>
    <col min="13835" max="13835" width="5.33203125" style="1" customWidth="1"/>
    <col min="13836" max="13836" width="30.109375" style="1" customWidth="1"/>
    <col min="13837" max="13837" width="8.88671875" style="1" customWidth="1"/>
    <col min="13838" max="14080" width="9.109375" style="1"/>
    <col min="14081" max="14081" width="4.6640625" style="1" customWidth="1"/>
    <col min="14082" max="14090" width="9.109375" style="1"/>
    <col min="14091" max="14091" width="5.33203125" style="1" customWidth="1"/>
    <col min="14092" max="14092" width="30.109375" style="1" customWidth="1"/>
    <col min="14093" max="14093" width="8.88671875" style="1" customWidth="1"/>
    <col min="14094" max="14336" width="9.109375" style="1"/>
    <col min="14337" max="14337" width="4.6640625" style="1" customWidth="1"/>
    <col min="14338" max="14346" width="9.109375" style="1"/>
    <col min="14347" max="14347" width="5.33203125" style="1" customWidth="1"/>
    <col min="14348" max="14348" width="30.109375" style="1" customWidth="1"/>
    <col min="14349" max="14349" width="8.88671875" style="1" customWidth="1"/>
    <col min="14350" max="14592" width="9.109375" style="1"/>
    <col min="14593" max="14593" width="4.6640625" style="1" customWidth="1"/>
    <col min="14594" max="14602" width="9.109375" style="1"/>
    <col min="14603" max="14603" width="5.33203125" style="1" customWidth="1"/>
    <col min="14604" max="14604" width="30.109375" style="1" customWidth="1"/>
    <col min="14605" max="14605" width="8.88671875" style="1" customWidth="1"/>
    <col min="14606" max="14848" width="9.109375" style="1"/>
    <col min="14849" max="14849" width="4.6640625" style="1" customWidth="1"/>
    <col min="14850" max="14858" width="9.109375" style="1"/>
    <col min="14859" max="14859" width="5.33203125" style="1" customWidth="1"/>
    <col min="14860" max="14860" width="30.109375" style="1" customWidth="1"/>
    <col min="14861" max="14861" width="8.88671875" style="1" customWidth="1"/>
    <col min="14862" max="15104" width="9.109375" style="1"/>
    <col min="15105" max="15105" width="4.6640625" style="1" customWidth="1"/>
    <col min="15106" max="15114" width="9.109375" style="1"/>
    <col min="15115" max="15115" width="5.33203125" style="1" customWidth="1"/>
    <col min="15116" max="15116" width="30.109375" style="1" customWidth="1"/>
    <col min="15117" max="15117" width="8.88671875" style="1" customWidth="1"/>
    <col min="15118" max="15360" width="9.109375" style="1"/>
    <col min="15361" max="15361" width="4.6640625" style="1" customWidth="1"/>
    <col min="15362" max="15370" width="9.109375" style="1"/>
    <col min="15371" max="15371" width="5.33203125" style="1" customWidth="1"/>
    <col min="15372" max="15372" width="30.109375" style="1" customWidth="1"/>
    <col min="15373" max="15373" width="8.88671875" style="1" customWidth="1"/>
    <col min="15374" max="15616" width="9.109375" style="1"/>
    <col min="15617" max="15617" width="4.6640625" style="1" customWidth="1"/>
    <col min="15618" max="15626" width="9.109375" style="1"/>
    <col min="15627" max="15627" width="5.33203125" style="1" customWidth="1"/>
    <col min="15628" max="15628" width="30.109375" style="1" customWidth="1"/>
    <col min="15629" max="15629" width="8.88671875" style="1" customWidth="1"/>
    <col min="15630" max="15872" width="9.109375" style="1"/>
    <col min="15873" max="15873" width="4.6640625" style="1" customWidth="1"/>
    <col min="15874" max="15882" width="9.109375" style="1"/>
    <col min="15883" max="15883" width="5.33203125" style="1" customWidth="1"/>
    <col min="15884" max="15884" width="30.109375" style="1" customWidth="1"/>
    <col min="15885" max="15885" width="8.88671875" style="1" customWidth="1"/>
    <col min="15886" max="16128" width="9.109375" style="1"/>
    <col min="16129" max="16129" width="4.6640625" style="1" customWidth="1"/>
    <col min="16130" max="16138" width="9.109375" style="1"/>
    <col min="16139" max="16139" width="5.33203125" style="1" customWidth="1"/>
    <col min="16140" max="16140" width="30.109375" style="1" customWidth="1"/>
    <col min="16141" max="16141" width="8.88671875" style="1" customWidth="1"/>
    <col min="16142" max="16384" width="9.109375" style="1"/>
  </cols>
  <sheetData>
    <row r="1" spans="1:13" ht="18" thickBot="1">
      <c r="A1" s="3" t="str">
        <f ca="1">MID(CELL("filename",A1),FIND("]",CELL("filename",A1))+1,256)</f>
        <v>Hlookup</v>
      </c>
      <c r="B1" s="4"/>
      <c r="C1" s="4"/>
      <c r="D1" s="4"/>
      <c r="E1" s="4"/>
      <c r="F1" s="4"/>
      <c r="G1" s="4"/>
      <c r="H1" s="4"/>
      <c r="I1" s="4"/>
      <c r="J1" s="4"/>
      <c r="K1" s="22"/>
    </row>
    <row r="2" spans="1:13" ht="13.8" thickTop="1"/>
    <row r="10" spans="1:13">
      <c r="A10" s="2"/>
    </row>
    <row r="11" spans="1:13" ht="26.4">
      <c r="K11" s="68" t="s">
        <v>47</v>
      </c>
      <c r="L11" s="68" t="s">
        <v>48</v>
      </c>
      <c r="M11" s="68" t="s">
        <v>49</v>
      </c>
    </row>
    <row r="12" spans="1:13" ht="26.4">
      <c r="K12" s="30" t="s">
        <v>51</v>
      </c>
      <c r="L12" s="31" t="s">
        <v>139</v>
      </c>
      <c r="M12" s="30" t="s">
        <v>53</v>
      </c>
    </row>
    <row r="13" spans="1:13" ht="26.4">
      <c r="K13" s="30" t="s">
        <v>55</v>
      </c>
      <c r="L13" s="31" t="s">
        <v>140</v>
      </c>
      <c r="M13" s="30" t="s">
        <v>57</v>
      </c>
    </row>
    <row r="14" spans="1:13">
      <c r="K14" s="30" t="s">
        <v>58</v>
      </c>
      <c r="L14" s="31" t="s">
        <v>141</v>
      </c>
      <c r="M14" s="30">
        <v>18</v>
      </c>
    </row>
    <row r="15" spans="1:13" ht="26.4">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3.2"/>
  <cols>
    <col min="1" max="1" width="3.5546875" style="1" customWidth="1"/>
    <col min="2" max="256" width="9.109375" style="1"/>
    <col min="257" max="257" width="3.5546875" style="1" customWidth="1"/>
    <col min="258" max="512" width="9.109375" style="1"/>
    <col min="513" max="513" width="3.5546875" style="1" customWidth="1"/>
    <col min="514" max="768" width="9.109375" style="1"/>
    <col min="769" max="769" width="3.5546875" style="1" customWidth="1"/>
    <col min="770" max="1024" width="9.109375" style="1"/>
    <col min="1025" max="1025" width="3.5546875" style="1" customWidth="1"/>
    <col min="1026" max="1280" width="9.109375" style="1"/>
    <col min="1281" max="1281" width="3.5546875" style="1" customWidth="1"/>
    <col min="1282" max="1536" width="9.109375" style="1"/>
    <col min="1537" max="1537" width="3.5546875" style="1" customWidth="1"/>
    <col min="1538" max="1792" width="9.109375" style="1"/>
    <col min="1793" max="1793" width="3.5546875" style="1" customWidth="1"/>
    <col min="1794" max="2048" width="9.109375" style="1"/>
    <col min="2049" max="2049" width="3.5546875" style="1" customWidth="1"/>
    <col min="2050" max="2304" width="9.109375" style="1"/>
    <col min="2305" max="2305" width="3.5546875" style="1" customWidth="1"/>
    <col min="2306" max="2560" width="9.109375" style="1"/>
    <col min="2561" max="2561" width="3.5546875" style="1" customWidth="1"/>
    <col min="2562" max="2816" width="9.109375" style="1"/>
    <col min="2817" max="2817" width="3.5546875" style="1" customWidth="1"/>
    <col min="2818" max="3072" width="9.109375" style="1"/>
    <col min="3073" max="3073" width="3.5546875" style="1" customWidth="1"/>
    <col min="3074" max="3328" width="9.109375" style="1"/>
    <col min="3329" max="3329" width="3.5546875" style="1" customWidth="1"/>
    <col min="3330" max="3584" width="9.109375" style="1"/>
    <col min="3585" max="3585" width="3.5546875" style="1" customWidth="1"/>
    <col min="3586" max="3840" width="9.109375" style="1"/>
    <col min="3841" max="3841" width="3.5546875" style="1" customWidth="1"/>
    <col min="3842" max="4096" width="9.109375" style="1"/>
    <col min="4097" max="4097" width="3.5546875" style="1" customWidth="1"/>
    <col min="4098" max="4352" width="9.109375" style="1"/>
    <col min="4353" max="4353" width="3.5546875" style="1" customWidth="1"/>
    <col min="4354" max="4608" width="9.109375" style="1"/>
    <col min="4609" max="4609" width="3.5546875" style="1" customWidth="1"/>
    <col min="4610" max="4864" width="9.109375" style="1"/>
    <col min="4865" max="4865" width="3.5546875" style="1" customWidth="1"/>
    <col min="4866" max="5120" width="9.109375" style="1"/>
    <col min="5121" max="5121" width="3.5546875" style="1" customWidth="1"/>
    <col min="5122" max="5376" width="9.109375" style="1"/>
    <col min="5377" max="5377" width="3.5546875" style="1" customWidth="1"/>
    <col min="5378" max="5632" width="9.109375" style="1"/>
    <col min="5633" max="5633" width="3.5546875" style="1" customWidth="1"/>
    <col min="5634" max="5888" width="9.109375" style="1"/>
    <col min="5889" max="5889" width="3.5546875" style="1" customWidth="1"/>
    <col min="5890" max="6144" width="9.109375" style="1"/>
    <col min="6145" max="6145" width="3.5546875" style="1" customWidth="1"/>
    <col min="6146" max="6400" width="9.109375" style="1"/>
    <col min="6401" max="6401" width="3.5546875" style="1" customWidth="1"/>
    <col min="6402" max="6656" width="9.109375" style="1"/>
    <col min="6657" max="6657" width="3.5546875" style="1" customWidth="1"/>
    <col min="6658" max="6912" width="9.109375" style="1"/>
    <col min="6913" max="6913" width="3.5546875" style="1" customWidth="1"/>
    <col min="6914" max="7168" width="9.109375" style="1"/>
    <col min="7169" max="7169" width="3.5546875" style="1" customWidth="1"/>
    <col min="7170" max="7424" width="9.109375" style="1"/>
    <col min="7425" max="7425" width="3.5546875" style="1" customWidth="1"/>
    <col min="7426" max="7680" width="9.109375" style="1"/>
    <col min="7681" max="7681" width="3.5546875" style="1" customWidth="1"/>
    <col min="7682" max="7936" width="9.109375" style="1"/>
    <col min="7937" max="7937" width="3.5546875" style="1" customWidth="1"/>
    <col min="7938" max="8192" width="9.109375" style="1"/>
    <col min="8193" max="8193" width="3.5546875" style="1" customWidth="1"/>
    <col min="8194" max="8448" width="9.109375" style="1"/>
    <col min="8449" max="8449" width="3.5546875" style="1" customWidth="1"/>
    <col min="8450" max="8704" width="9.109375" style="1"/>
    <col min="8705" max="8705" width="3.5546875" style="1" customWidth="1"/>
    <col min="8706" max="8960" width="9.109375" style="1"/>
    <col min="8961" max="8961" width="3.5546875" style="1" customWidth="1"/>
    <col min="8962" max="9216" width="9.109375" style="1"/>
    <col min="9217" max="9217" width="3.5546875" style="1" customWidth="1"/>
    <col min="9218" max="9472" width="9.109375" style="1"/>
    <col min="9473" max="9473" width="3.5546875" style="1" customWidth="1"/>
    <col min="9474" max="9728" width="9.109375" style="1"/>
    <col min="9729" max="9729" width="3.5546875" style="1" customWidth="1"/>
    <col min="9730" max="9984" width="9.109375" style="1"/>
    <col min="9985" max="9985" width="3.5546875" style="1" customWidth="1"/>
    <col min="9986" max="10240" width="9.109375" style="1"/>
    <col min="10241" max="10241" width="3.5546875" style="1" customWidth="1"/>
    <col min="10242" max="10496" width="9.109375" style="1"/>
    <col min="10497" max="10497" width="3.5546875" style="1" customWidth="1"/>
    <col min="10498" max="10752" width="9.109375" style="1"/>
    <col min="10753" max="10753" width="3.5546875" style="1" customWidth="1"/>
    <col min="10754" max="11008" width="9.109375" style="1"/>
    <col min="11009" max="11009" width="3.5546875" style="1" customWidth="1"/>
    <col min="11010" max="11264" width="9.109375" style="1"/>
    <col min="11265" max="11265" width="3.5546875" style="1" customWidth="1"/>
    <col min="11266" max="11520" width="9.109375" style="1"/>
    <col min="11521" max="11521" width="3.5546875" style="1" customWidth="1"/>
    <col min="11522" max="11776" width="9.109375" style="1"/>
    <col min="11777" max="11777" width="3.5546875" style="1" customWidth="1"/>
    <col min="11778" max="12032" width="9.109375" style="1"/>
    <col min="12033" max="12033" width="3.5546875" style="1" customWidth="1"/>
    <col min="12034" max="12288" width="9.109375" style="1"/>
    <col min="12289" max="12289" width="3.5546875" style="1" customWidth="1"/>
    <col min="12290" max="12544" width="9.109375" style="1"/>
    <col min="12545" max="12545" width="3.5546875" style="1" customWidth="1"/>
    <col min="12546" max="12800" width="9.109375" style="1"/>
    <col min="12801" max="12801" width="3.5546875" style="1" customWidth="1"/>
    <col min="12802" max="13056" width="9.109375" style="1"/>
    <col min="13057" max="13057" width="3.5546875" style="1" customWidth="1"/>
    <col min="13058" max="13312" width="9.109375" style="1"/>
    <col min="13313" max="13313" width="3.5546875" style="1" customWidth="1"/>
    <col min="13314" max="13568" width="9.109375" style="1"/>
    <col min="13569" max="13569" width="3.5546875" style="1" customWidth="1"/>
    <col min="13570" max="13824" width="9.109375" style="1"/>
    <col min="13825" max="13825" width="3.5546875" style="1" customWidth="1"/>
    <col min="13826" max="14080" width="9.109375" style="1"/>
    <col min="14081" max="14081" width="3.5546875" style="1" customWidth="1"/>
    <col min="14082" max="14336" width="9.109375" style="1"/>
    <col min="14337" max="14337" width="3.5546875" style="1" customWidth="1"/>
    <col min="14338" max="14592" width="9.109375" style="1"/>
    <col min="14593" max="14593" width="3.5546875" style="1" customWidth="1"/>
    <col min="14594" max="14848" width="9.109375" style="1"/>
    <col min="14849" max="14849" width="3.5546875" style="1" customWidth="1"/>
    <col min="14850" max="15104" width="9.109375" style="1"/>
    <col min="15105" max="15105" width="3.5546875" style="1" customWidth="1"/>
    <col min="15106" max="15360" width="9.109375" style="1"/>
    <col min="15361" max="15361" width="3.5546875" style="1" customWidth="1"/>
    <col min="15362" max="15616" width="9.109375" style="1"/>
    <col min="15617" max="15617" width="3.5546875" style="1" customWidth="1"/>
    <col min="15618" max="15872" width="9.109375" style="1"/>
    <col min="15873" max="15873" width="3.5546875" style="1" customWidth="1"/>
    <col min="15874" max="16128" width="9.109375" style="1"/>
    <col min="16129" max="16129" width="3.5546875" style="1" customWidth="1"/>
    <col min="16130" max="16384" width="9.109375" style="1"/>
  </cols>
  <sheetData>
    <row r="1" spans="1:10" ht="18" thickBot="1">
      <c r="A1" s="3" t="str">
        <f ca="1">MID(CELL("filename",A1),FIND("]",CELL("filename",A1))+1,256)</f>
        <v>Transpose</v>
      </c>
      <c r="B1" s="4"/>
      <c r="C1" s="4"/>
      <c r="D1" s="4"/>
      <c r="E1" s="4"/>
      <c r="F1" s="4"/>
      <c r="G1" s="4"/>
      <c r="H1" s="4"/>
      <c r="I1" s="4"/>
      <c r="J1" s="4"/>
    </row>
    <row r="2" spans="1:10" ht="13.8" thickTop="1">
      <c r="B2" s="8" t="s">
        <v>7</v>
      </c>
    </row>
    <row r="4" spans="1:10">
      <c r="B4" s="9" t="s">
        <v>8</v>
      </c>
      <c r="C4" s="10" t="s">
        <v>9</v>
      </c>
      <c r="D4" s="10" t="s">
        <v>10</v>
      </c>
    </row>
    <row r="5" spans="1:10">
      <c r="B5" s="11" t="s">
        <v>11</v>
      </c>
      <c r="C5" s="12">
        <v>10</v>
      </c>
      <c r="D5" s="12">
        <v>30</v>
      </c>
    </row>
    <row r="6" spans="1:10">
      <c r="B6" s="11" t="s">
        <v>12</v>
      </c>
      <c r="C6" s="12">
        <v>40</v>
      </c>
      <c r="D6" s="12">
        <v>50</v>
      </c>
      <c r="E6" s="135"/>
      <c r="F6" s="135"/>
      <c r="G6" s="135"/>
      <c r="H6" s="135"/>
      <c r="I6" s="135"/>
    </row>
    <row r="7" spans="1:10">
      <c r="B7" s="11" t="s">
        <v>13</v>
      </c>
      <c r="C7" s="12">
        <v>70</v>
      </c>
      <c r="D7" s="12">
        <v>80</v>
      </c>
      <c r="E7" s="135"/>
      <c r="F7" s="135"/>
      <c r="G7" s="135"/>
      <c r="H7" s="135"/>
      <c r="I7" s="135"/>
    </row>
    <row r="8" spans="1:10" s="13" customFormat="1">
      <c r="B8" s="14"/>
      <c r="C8" s="15"/>
      <c r="D8" s="15"/>
      <c r="E8" s="135"/>
      <c r="F8" s="135"/>
      <c r="G8" s="135"/>
      <c r="H8" s="135"/>
      <c r="I8" s="135"/>
    </row>
    <row r="9" spans="1:10">
      <c r="E9" s="135"/>
      <c r="F9" s="135"/>
      <c r="G9" s="135"/>
      <c r="H9" s="135"/>
      <c r="I9" s="135"/>
    </row>
    <row r="10" spans="1:10">
      <c r="B10" s="6" t="s">
        <v>14</v>
      </c>
      <c r="E10" s="135"/>
      <c r="F10" s="135"/>
      <c r="G10" s="135"/>
      <c r="H10" s="135"/>
      <c r="I10" s="135"/>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ryvien jim delmundo</cp:lastModifiedBy>
  <dcterms:created xsi:type="dcterms:W3CDTF">2017-03-20T16:12:20Z</dcterms:created>
  <dcterms:modified xsi:type="dcterms:W3CDTF">2026-02-26T13:39:51Z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