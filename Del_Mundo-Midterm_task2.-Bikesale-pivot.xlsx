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uter LAB\Downloads\"/>
    </mc:Choice>
  </mc:AlternateContent>
  <bookViews>
    <workbookView xWindow="0" yWindow="0" windowWidth="28800" windowHeight="12300"/>
  </bookViews>
  <sheets>
    <sheet name="Sheet1" sheetId="2" r:id="rId1"/>
    <sheet name="Bike Sales" sheetId="1" r:id="rId2"/>
  </sheets>
  <calcPr calcId="162913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<sst xmlns="http://schemas.openxmlformats.org/spreadsheetml/2006/main" count="865" uniqueCount="166">
  <si>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</si>
  <si>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</si>
  <si>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</si>
  <si>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</si>
  <si>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</si>
  <si>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</si>
  <si>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</si>
  <si>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</si>
  <si>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</si>
  <si>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</si>
  <si>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</si>
  <si>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</si>
  <si>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</si>
  <si>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</si>
  <si>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</si>
  <si>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</si>
  <si>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</si>
  <si>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</si>
  <si>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</si>
  <si>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</si>
  <si>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</si>
  <si>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</si>
  <si>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</si>
  <si>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</si>
  <si>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</si>
  <si>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</si>
  <si>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</si>
  <si>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</si>
  <si>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</si>
  <si>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</si>
  <si>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</si>
  <si>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</si>
  <si>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</si>
  <si>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</si>
  <si>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</si>
  <si>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</si>
  <si>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</si>
  <si>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</si>
  <si>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</si>
  <si>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</si>
  <si>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</si>
  <si>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</si>
  <si>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</si>
  <si>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</si>
  <si>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</si>
  <si>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</si>
  <si>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</si>
  <si>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</si>
  <si>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</si>
  <si>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</si>
  <si>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</si>
  <si>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</si>
  <si>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</si>
  <si>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</si>
  <si>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</si>
  <si>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</si>
  <si>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</si>
  <si>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</si>
  <si>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</si>
  <si>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</si>
  <si>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</si>
  <si>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</si>
  <si>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</si>
  <si>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</si>
  <si>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</si>
  <si>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</si>
  <si>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</si>
  <si>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</si>
  <si>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</si>
  <si>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</si>
  <si>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</si>
  <si>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</si>
  <si>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</si>
  <si>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</si>
  <si>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</si>
  <si>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</si>
  <si>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</si>
  <si>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</si>
  <si>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</si>
  <si>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</si>
  <si>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</si>
  <si>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</si>
  <si>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</si>
  <si>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</si>
  <si>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</si>
  <si>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</si>
  <si>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</si>
  <si>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</si>
  <si>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</si>
  <si>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</si>
  <si>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</si>
  <si>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</si>
  <si>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</si>
  <si>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</si>
  <si>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</si>
  <si>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</si>
  <si>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</si>
  <si>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</si>
  <si>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</si>
  <si>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</si>
  <si>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</si>
  <si>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</si>
  <si>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</si>
  <si>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</si>
  <si>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</si>
  <si>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</si>
  <si>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</si>
  <si>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</si>
  <si>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</si>
  <si>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</si>
  <si>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</si>
  <si>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</si>
  <si>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</si>
  <si>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</si>
  <si>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</si>
  <si>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</si>
  <si>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</si>
  <si>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</si>
  <si>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</si>
  <si>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</si>
  <si>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</si>
  <si>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</si>
  <si>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</si>
  <si>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</si>
  <si>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</si>
  <si>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</si>
  <si>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</si>
  <si>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</si>
  <si>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</si>
  <si>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</si>
  <si>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</si>
  <si>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</si>
  <si>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</si>
  <si>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</si>
  <si>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</si>
  <si>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</si>
  <si>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</si>
  <si>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</si>
  <si>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</si>
  <si>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</si>
  <si>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</si>
  <si>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</si>
  <si>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</si>
  <si>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</si>
  <si>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</si>
  <si>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</si>
  <si>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</si>
  <si>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</si>
  <si>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</si>
  <si>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</si>
  <si>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</si>
  <si>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</si>
  <si>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</si>
  <si>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</si>
  <si>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</si>
  <si>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</si>
  <si>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</si>
  <si>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</si>
  <si>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</si>
  <si>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</si>
  <si>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</si>
  <si>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</si>
  <si>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 xml:space="preserve">Sum of  Profit </t>
  </si>
  <si>
    <t>Total Sum of Order_Quantity</t>
  </si>
  <si>
    <t>Total Sum of Year</t>
  </si>
  <si>
    <t>Sum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</si>
</sst>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&quot;₱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[Del_Mundo-Midterm_task2.-Bikesale-pivot.xlsx]Sheet1!PivotTable1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>
                <a:effectLst/>
              </a:rPr>
              <a:t>Sales Summary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Australia - Sum of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Sheet1!$B$6:$B$9</c:f>
              <c:numCache>
                <c:formatCode>General</c:formatCode>
                <c:ptCount val="3"/>
                <c:pt idx="0">
                  <c:v>8084</c:v>
                </c:pt>
                <c:pt idx="1">
                  <c:v>18189</c:v>
                </c:pt>
                <c:pt idx="2">
                  <c:v>28294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B-489E-B4CF-A8EB5BE3E7C3}"/>
            </c:ext>
          </c:extLst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Australia - Sum of Order_Quantity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Sheet1!$C$6:$C$9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BB-489E-B4CF-A8EB5BE3E7C3}"/>
            </c:ext>
          </c:extLst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Canada - Sum of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Sheet1!$D$6:$D$9</c:f>
              <c:numCache>
                <c:formatCode>General</c:formatCode>
                <c:ptCount val="3"/>
                <c:pt idx="0">
                  <c:v>0</c:v>
                </c:pt>
                <c:pt idx="1">
                  <c:v>12126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BB-489E-B4CF-A8EB5BE3E7C3}"/>
            </c:ext>
          </c:extLst>
        </c:ser>
        <c:ser>
          <c:idx val="3"/>
          <c:order val="3"/>
          <c:tx>
            <c:strRef>
              <c:f>Sheet1!$E$3:$E$5</c:f>
              <c:strCache>
                <c:ptCount val="1"/>
                <c:pt idx="0">
                  <c:v>Canada - Sum of Order_Quantity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Sheet1!$E$6:$E$9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BB-489E-B4CF-A8EB5BE3E7C3}"/>
            </c:ext>
          </c:extLst>
        </c:ser>
        <c:ser>
          <c:idx val="4"/>
          <c:order val="4"/>
          <c:tx>
            <c:strRef>
              <c:f>Sheet1!$F$3:$F$5</c:f>
              <c:strCache>
                <c:ptCount val="1"/>
                <c:pt idx="0">
                  <c:v>France - Sum of Year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Sheet1!$F$6:$F$9</c:f>
              <c:numCache>
                <c:formatCode>General</c:formatCode>
                <c:ptCount val="3"/>
                <c:pt idx="0">
                  <c:v>6063</c:v>
                </c:pt>
                <c:pt idx="1">
                  <c:v>10105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BB-489E-B4CF-A8EB5BE3E7C3}"/>
            </c:ext>
          </c:extLst>
        </c:ser>
        <c:ser>
          <c:idx val="5"/>
          <c:order val="5"/>
          <c:tx>
            <c:strRef>
              <c:f>Sheet1!$G$3:$G$5</c:f>
              <c:strCache>
                <c:ptCount val="1"/>
                <c:pt idx="0">
                  <c:v>France - Sum of Order_Quantity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Sheet1!$G$6:$G$9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BB-489E-B4CF-A8EB5BE3E7C3}"/>
            </c:ext>
          </c:extLst>
        </c:ser>
        <c:ser>
          <c:idx val="6"/>
          <c:order val="6"/>
          <c:tx>
            <c:strRef>
              <c:f>Sheet1!$H$3:$H$5</c:f>
              <c:strCache>
                <c:ptCount val="1"/>
                <c:pt idx="0">
                  <c:v>Germany - Sum of Year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Sheet1!$H$6:$H$9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12126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BB-489E-B4CF-A8EB5BE3E7C3}"/>
            </c:ext>
          </c:extLst>
        </c:ser>
        <c:ser>
          <c:idx val="7"/>
          <c:order val="7"/>
          <c:tx>
            <c:strRef>
              <c:f>Sheet1!$I$3:$I$5</c:f>
              <c:strCache>
                <c:ptCount val="1"/>
                <c:pt idx="0">
                  <c:v>Germany - Sum of Order_Quantity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Sheet1!$I$6:$I$9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BB-489E-B4CF-A8EB5BE3E7C3}"/>
            </c:ext>
          </c:extLst>
        </c:ser>
        <c:ser>
          <c:idx val="8"/>
          <c:order val="8"/>
          <c:tx>
            <c:strRef>
              <c:f>Sheet1!$J$3:$J$5</c:f>
              <c:strCache>
                <c:ptCount val="1"/>
                <c:pt idx="0">
                  <c:v>United  States - Sum of Year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Sheet1!$J$6:$J$9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0-448C-BF2D-4944F3EA12F5}"/>
            </c:ext>
          </c:extLst>
        </c:ser>
        <c:ser>
          <c:idx val="9"/>
          <c:order val="9"/>
          <c:tx>
            <c:strRef>
              <c:f>Sheet1!$K$3:$K$5</c:f>
              <c:strCache>
                <c:ptCount val="1"/>
                <c:pt idx="0">
                  <c:v>United  States - Sum of Order_Quantity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Sheet1!$K$6:$K$9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00-448C-BF2D-4944F3EA12F5}"/>
            </c:ext>
          </c:extLst>
        </c:ser>
        <c:ser>
          <c:idx val="10"/>
          <c:order val="10"/>
          <c:tx>
            <c:strRef>
              <c:f>Sheet1!$L$3:$L$5</c:f>
              <c:strCache>
                <c:ptCount val="1"/>
                <c:pt idx="0">
                  <c:v>United Kingdom - Sum of Year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Sheet1!$L$6:$L$9</c:f>
              <c:numCache>
                <c:formatCode>General</c:formatCode>
                <c:ptCount val="3"/>
                <c:pt idx="0">
                  <c:v>6063</c:v>
                </c:pt>
                <c:pt idx="1">
                  <c:v>4042</c:v>
                </c:pt>
                <c:pt idx="2">
                  <c:v>8084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00-448C-BF2D-4944F3EA12F5}"/>
            </c:ext>
          </c:extLst>
        </c:ser>
        <c:ser>
          <c:idx val="11"/>
          <c:order val="11"/>
          <c:tx>
            <c:strRef>
              <c:f>Sheet1!$M$3:$M$5</c:f>
              <c:strCache>
                <c:ptCount val="1"/>
                <c:pt idx="0">
                  <c:v>United Kingdom - Sum of Order_Quantity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Sheet1!$M$6:$M$9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00-448C-BF2D-4944F3EA12F5}"/>
            </c:ext>
          </c:extLst>
        </c:ser>
        <c:ser>
          <c:idx val="12"/>
          <c:order val="12"/>
          <c:tx>
            <c:strRef>
              <c:f>Sheet1!$N$3:$N$5</c:f>
              <c:strCache>
                <c:ptCount val="1"/>
                <c:pt idx="0">
                  <c:v>United States - Sum of Year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Sheet1!$N$6:$N$9</c:f>
              <c:numCache>
                <c:formatCode>General</c:formatCode>
                <c:ptCount val="3"/>
                <c:pt idx="0">
                  <c:v>0</c:v>
                </c:pt>
                <c:pt idx="1">
                  <c:v>18189</c:v>
                </c:pt>
                <c:pt idx="2">
                  <c:v>42441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00-448C-BF2D-4944F3EA12F5}"/>
            </c:ext>
          </c:extLst>
        </c:ser>
        <c:ser>
          <c:idx val="13"/>
          <c:order val="13"/>
          <c:tx>
            <c:strRef>
              <c:f>Sheet1!$O$3:$O$5</c:f>
              <c:strCache>
                <c:ptCount val="1"/>
                <c:pt idx="0">
                  <c:v>United States - Sum of Order_Quantity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Sheet1!$O$6:$O$9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00-448C-BF2D-4944F3EA12F5}"/>
            </c:ext>
          </c:extLst>
        </c:ser>
        <c:ser>
          <c:idx val="14"/>
          <c:order val="14"/>
          <c:tx>
            <c:strRef>
              <c:f>Sheet1!$P$3:$P$5</c:f>
              <c:strCache>
                <c:ptCount val="1"/>
                <c:pt idx="0">
                  <c:v>United States  - Sum of Year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Sheet1!$P$6:$P$9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00-448C-BF2D-4944F3EA12F5}"/>
            </c:ext>
          </c:extLst>
        </c:ser>
        <c:ser>
          <c:idx val="15"/>
          <c:order val="15"/>
          <c:tx>
            <c:strRef>
              <c:f>Sheet1!$Q$3:$Q$5</c:f>
              <c:strCache>
                <c:ptCount val="1"/>
                <c:pt idx="0">
                  <c:v>United States  - Sum of Order_Quantity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Sheet1!$Q$6:$Q$9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00-448C-BF2D-4944F3EA1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5437247"/>
        <c:axId val="265435999"/>
      </c:barChart>
      <c:catAx>
        <c:axId val="26543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35999"/>
        <c:crosses val="autoZero"/>
        <c:auto val="1"/>
        <c:lblAlgn val="ctr"/>
        <c:lblOffset val="100"/>
        <c:noMultiLvlLbl val="0"/>
      </c:catAx>
      <c:valAx>
        <c:axId val="26543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3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4</xdr:row>
      <xdr:rowOff>0</xdr:rowOff>
    </xdr:from>
    <xdr:to>
      <xdr:col>16</xdr:col>
      <xdr:colOff>447675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puter LAB" refreshedDate="46073.458715856483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s v="December"/>
    <x v="0"/>
    <n v="37"/>
    <x v="0"/>
    <x v="0"/>
    <x v="3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s v="December"/>
    <x v="0"/>
    <n v="37"/>
    <x v="0"/>
    <x v="1"/>
    <x v="4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s v="December"/>
    <x v="0"/>
    <n v="42"/>
    <x v="0"/>
    <x v="1"/>
    <x v="5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s v="December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s v="December"/>
    <x v="0"/>
    <n v="30"/>
    <x v="1"/>
    <x v="0"/>
    <x v="6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s v="December"/>
    <x v="0"/>
    <n v="41"/>
    <x v="0"/>
    <x v="0"/>
    <x v="5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s v="December"/>
    <x v="0"/>
    <n v="24"/>
    <x v="2"/>
    <x v="0"/>
    <x v="7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s v="December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s v="December"/>
    <x v="0"/>
    <n v="27"/>
    <x v="1"/>
    <x v="0"/>
    <x v="7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s v="December"/>
    <x v="0"/>
    <n v="42"/>
    <x v="0"/>
    <x v="0"/>
    <x v="5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s v="December"/>
    <x v="0"/>
    <n v="38"/>
    <x v="0"/>
    <x v="0"/>
    <x v="5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s v="December"/>
    <x v="0"/>
    <n v="24"/>
    <x v="2"/>
    <x v="0"/>
    <x v="7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s v="December"/>
    <x v="0"/>
    <n v="26"/>
    <x v="1"/>
    <x v="1"/>
    <x v="7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s v="December"/>
    <x v="0"/>
    <n v="17"/>
    <x v="2"/>
    <x v="1"/>
    <x v="7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s v="December"/>
    <x v="0"/>
    <n v="25"/>
    <x v="1"/>
    <x v="1"/>
    <x v="7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s v="December"/>
    <x v="0"/>
    <n v="56"/>
    <x v="0"/>
    <x v="0"/>
    <x v="5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s v="December"/>
    <x v="0"/>
    <n v="29"/>
    <x v="1"/>
    <x v="1"/>
    <x v="6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s v="December"/>
    <x v="0"/>
    <n v="26"/>
    <x v="1"/>
    <x v="1"/>
    <x v="7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s v="December"/>
    <x v="0"/>
    <n v="25"/>
    <x v="1"/>
    <x v="1"/>
    <x v="7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s v="December"/>
    <x v="0"/>
    <n v="27"/>
    <x v="1"/>
    <x v="0"/>
    <x v="6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s v="December"/>
    <x v="0"/>
    <n v="41"/>
    <x v="0"/>
    <x v="1"/>
    <x v="5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s v="December"/>
    <x v="0"/>
    <n v="31"/>
    <x v="1"/>
    <x v="0"/>
    <x v="6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12:J23" firstHeaderRow="1" firstDataRow="2" firstDataCol="1"/>
  <pivotFields count="19">
    <pivotField showAll="0"/>
    <pivotField numFmtId="14"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 sortType="descending">
      <items count="9">
        <item sd="0" x="4"/>
        <item sd="0" x="0"/>
        <item sd="0" x="1"/>
        <item sd="0" x="3"/>
        <item sd="0" x="5"/>
        <item sd="0" x="7"/>
        <item sd="0" x="6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 v="1"/>
    </i>
    <i>
      <x v="7"/>
    </i>
    <i>
      <x v="5"/>
    </i>
    <i>
      <x v="4"/>
    </i>
    <i>
      <x v="6"/>
    </i>
    <i>
      <x v="2"/>
    </i>
    <i>
      <x v="3"/>
    </i>
    <i>
      <x/>
    </i>
    <i t="grand">
      <x/>
    </i>
  </colItems>
  <dataFields count="1">
    <dataField name="Sum of  Profit " fld="16" baseField="8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3:S9" firstHeaderRow="1" firstDataRow="3" firstDataCol="1"/>
  <pivotFields count="19">
    <pivotField showAll="0"/>
    <pivotField numFmtId="14" showAll="0"/>
    <pivotField showAll="0"/>
    <pivotField showAll="0"/>
    <pivotField dataField="1"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2">
    <field x="8"/>
    <field x="-2"/>
  </colFields>
  <colItems count="1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 t="grand">
      <x/>
    </i>
    <i t="grand" i="1">
      <x/>
    </i>
  </colItems>
  <dataFields count="2">
    <dataField name="Sum of Year" fld="4" baseField="0" baseItem="0"/>
    <dataField name="Sum of Order_Quantity" fld="13" baseField="0" baseItem="0"/>
  </dataFields>
  <chartFormats count="16"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23"/>
  <sheetViews>
    <sheetView tabSelected="1" workbookViewId="0">
      <selection activeCell="B5" sqref="B5"/>
    </sheetView>
  </sheetViews>
  <sheetFormatPr defaultRowHeight="15" x14ac:dyDescent="0.25"/>
  <cols>
    <col min="1" max="1" width="21.42578125" customWidth="1"/>
    <col min="2" max="2" width="16.28515625" customWidth="1"/>
    <col min="3" max="3" width="21.85546875" customWidth="1"/>
    <col min="4" max="4" width="11.5703125" customWidth="1"/>
    <col min="5" max="5" width="21.85546875" customWidth="1"/>
    <col min="6" max="6" width="11.5703125" customWidth="1"/>
    <col min="7" max="7" width="21.85546875" customWidth="1"/>
    <col min="8" max="8" width="11.5703125" customWidth="1"/>
    <col min="9" max="9" width="21.85546875" customWidth="1"/>
    <col min="10" max="10" width="13.5703125" customWidth="1"/>
    <col min="11" max="11" width="21.85546875" customWidth="1"/>
    <col min="12" max="12" width="15.5703125" customWidth="1"/>
    <col min="13" max="13" width="21.85546875" customWidth="1"/>
    <col min="14" max="14" width="13.140625" customWidth="1"/>
    <col min="15" max="15" width="21.85546875" customWidth="1"/>
    <col min="16" max="16" width="13.5703125" customWidth="1"/>
    <col min="17" max="17" width="21.85546875" customWidth="1"/>
    <col min="18" max="18" width="16.5703125" customWidth="1"/>
    <col min="19" max="19" width="26.85546875" bestFit="1" customWidth="1"/>
  </cols>
  <sheetData>
    <row r="3" spans="1:19" x14ac:dyDescent="0.25">
      <c r="B3" s="10" t="s">
        <v>161</v>
      </c>
    </row>
    <row r="4" spans="1:19" x14ac:dyDescent="0.25">
      <c r="B4" t="s">
        <v>36</v>
      </c>
      <c r="D4" t="s">
        <v>58</v>
      </c>
      <c r="F4" t="s">
        <v>87</v>
      </c>
      <c r="H4" t="s">
        <v>50</v>
      </c>
      <c r="J4" t="s">
        <v>40</v>
      </c>
      <c r="L4" t="s">
        <v>29</v>
      </c>
      <c r="N4" t="s">
        <v>23</v>
      </c>
      <c r="P4" t="s">
        <v>45</v>
      </c>
      <c r="R4" t="s">
        <v>164</v>
      </c>
      <c r="S4" t="s">
        <v>163</v>
      </c>
    </row>
    <row r="5" spans="1:19" x14ac:dyDescent="0.25">
      <c r="A5" s="10" t="s">
        <v>158</v>
      </c>
      <c r="B5" t="s">
        <v>165</v>
      </c>
      <c r="C5" t="s">
        <v>160</v>
      </c>
      <c r="D5" t="s">
        <v>165</v>
      </c>
      <c r="E5" t="s">
        <v>160</v>
      </c>
      <c r="F5" t="s">
        <v>165</v>
      </c>
      <c r="G5" t="s">
        <v>160</v>
      </c>
      <c r="H5" t="s">
        <v>165</v>
      </c>
      <c r="I5" t="s">
        <v>160</v>
      </c>
      <c r="J5" t="s">
        <v>165</v>
      </c>
      <c r="K5" t="s">
        <v>160</v>
      </c>
      <c r="L5" t="s">
        <v>165</v>
      </c>
      <c r="M5" t="s">
        <v>160</v>
      </c>
      <c r="N5" t="s">
        <v>165</v>
      </c>
      <c r="O5" t="s">
        <v>160</v>
      </c>
      <c r="P5" t="s">
        <v>165</v>
      </c>
      <c r="Q5" t="s">
        <v>160</v>
      </c>
    </row>
    <row r="6" spans="1:19" x14ac:dyDescent="0.25">
      <c r="A6" s="8" t="s">
        <v>42</v>
      </c>
      <c r="B6" s="9">
        <v>8084</v>
      </c>
      <c r="C6" s="9">
        <v>11</v>
      </c>
      <c r="D6" s="9">
        <v>0</v>
      </c>
      <c r="E6" s="9">
        <v>0</v>
      </c>
      <c r="F6" s="9">
        <v>6063</v>
      </c>
      <c r="G6" s="9">
        <v>10</v>
      </c>
      <c r="H6" s="9">
        <v>0</v>
      </c>
      <c r="I6" s="9">
        <v>0</v>
      </c>
      <c r="J6" s="9">
        <v>0</v>
      </c>
      <c r="K6" s="9">
        <v>0</v>
      </c>
      <c r="L6" s="9">
        <v>6063</v>
      </c>
      <c r="M6" s="9">
        <v>6</v>
      </c>
      <c r="N6" s="9">
        <v>0</v>
      </c>
      <c r="O6" s="9">
        <v>0</v>
      </c>
      <c r="P6" s="9">
        <v>0</v>
      </c>
      <c r="Q6" s="9">
        <v>0</v>
      </c>
      <c r="R6" s="9">
        <v>20210</v>
      </c>
      <c r="S6" s="9">
        <v>27</v>
      </c>
    </row>
    <row r="7" spans="1:19" x14ac:dyDescent="0.25">
      <c r="A7" s="8" t="s">
        <v>35</v>
      </c>
      <c r="B7" s="9">
        <v>18189</v>
      </c>
      <c r="C7" s="9">
        <v>20</v>
      </c>
      <c r="D7" s="9">
        <v>12126</v>
      </c>
      <c r="E7" s="9">
        <v>11</v>
      </c>
      <c r="F7" s="9">
        <v>10105</v>
      </c>
      <c r="G7" s="9">
        <v>10</v>
      </c>
      <c r="H7" s="9">
        <v>0</v>
      </c>
      <c r="I7" s="9">
        <v>0</v>
      </c>
      <c r="J7" s="9">
        <v>0</v>
      </c>
      <c r="K7" s="9">
        <v>0</v>
      </c>
      <c r="L7" s="9">
        <v>4042</v>
      </c>
      <c r="M7" s="9">
        <v>4</v>
      </c>
      <c r="N7" s="9">
        <v>18189</v>
      </c>
      <c r="O7" s="9">
        <v>16</v>
      </c>
      <c r="P7" s="9">
        <v>0</v>
      </c>
      <c r="Q7" s="9">
        <v>0</v>
      </c>
      <c r="R7" s="9">
        <v>62651</v>
      </c>
      <c r="S7" s="9">
        <v>61</v>
      </c>
    </row>
    <row r="8" spans="1:19" x14ac:dyDescent="0.25">
      <c r="A8" s="8" t="s">
        <v>21</v>
      </c>
      <c r="B8" s="9">
        <v>28294</v>
      </c>
      <c r="C8" s="9">
        <v>32</v>
      </c>
      <c r="D8" s="9">
        <v>0</v>
      </c>
      <c r="E8" s="9">
        <v>0</v>
      </c>
      <c r="F8" s="9">
        <v>0</v>
      </c>
      <c r="G8" s="9">
        <v>0</v>
      </c>
      <c r="H8" s="9">
        <v>12126</v>
      </c>
      <c r="I8" s="9">
        <v>13</v>
      </c>
      <c r="J8" s="9">
        <v>2021</v>
      </c>
      <c r="K8" s="9">
        <v>2</v>
      </c>
      <c r="L8" s="9">
        <v>8084</v>
      </c>
      <c r="M8" s="9">
        <v>4</v>
      </c>
      <c r="N8" s="9">
        <v>42441</v>
      </c>
      <c r="O8" s="9">
        <v>47</v>
      </c>
      <c r="P8" s="9">
        <v>2021</v>
      </c>
      <c r="Q8" s="9">
        <v>1</v>
      </c>
      <c r="R8" s="9">
        <v>94987</v>
      </c>
      <c r="S8" s="9">
        <v>99</v>
      </c>
    </row>
    <row r="9" spans="1:19" x14ac:dyDescent="0.25">
      <c r="A9" s="8" t="s">
        <v>159</v>
      </c>
      <c r="B9" s="9">
        <v>54567</v>
      </c>
      <c r="C9" s="9">
        <v>63</v>
      </c>
      <c r="D9" s="9">
        <v>12126</v>
      </c>
      <c r="E9" s="9">
        <v>11</v>
      </c>
      <c r="F9" s="9">
        <v>16168</v>
      </c>
      <c r="G9" s="9">
        <v>20</v>
      </c>
      <c r="H9" s="9">
        <v>12126</v>
      </c>
      <c r="I9" s="9">
        <v>13</v>
      </c>
      <c r="J9" s="9">
        <v>2021</v>
      </c>
      <c r="K9" s="9">
        <v>2</v>
      </c>
      <c r="L9" s="9">
        <v>18189</v>
      </c>
      <c r="M9" s="9">
        <v>14</v>
      </c>
      <c r="N9" s="9">
        <v>60630</v>
      </c>
      <c r="O9" s="9">
        <v>63</v>
      </c>
      <c r="P9" s="9">
        <v>2021</v>
      </c>
      <c r="Q9" s="9">
        <v>1</v>
      </c>
      <c r="R9" s="9">
        <v>177848</v>
      </c>
      <c r="S9" s="9">
        <v>187</v>
      </c>
    </row>
    <row r="12" spans="1:19" x14ac:dyDescent="0.25">
      <c r="A12" s="10" t="s">
        <v>162</v>
      </c>
      <c r="B12" s="10" t="s">
        <v>161</v>
      </c>
    </row>
    <row r="13" spans="1:19" x14ac:dyDescent="0.25">
      <c r="A13" s="10" t="s">
        <v>158</v>
      </c>
      <c r="B13" t="s">
        <v>23</v>
      </c>
      <c r="C13" t="s">
        <v>36</v>
      </c>
      <c r="D13" t="s">
        <v>87</v>
      </c>
      <c r="E13" t="s">
        <v>50</v>
      </c>
      <c r="F13" t="s">
        <v>58</v>
      </c>
      <c r="G13" t="s">
        <v>29</v>
      </c>
      <c r="H13" t="s">
        <v>40</v>
      </c>
      <c r="I13" t="s">
        <v>45</v>
      </c>
      <c r="J13" t="s">
        <v>159</v>
      </c>
    </row>
    <row r="14" spans="1:19" x14ac:dyDescent="0.25">
      <c r="A14" s="8" t="s">
        <v>42</v>
      </c>
      <c r="B14" s="12">
        <v>0</v>
      </c>
      <c r="C14" s="12">
        <v>2755</v>
      </c>
      <c r="D14" s="12">
        <v>10507</v>
      </c>
      <c r="E14" s="12">
        <v>0</v>
      </c>
      <c r="F14" s="12">
        <v>0</v>
      </c>
      <c r="G14" s="12">
        <v>2788</v>
      </c>
      <c r="H14" s="12">
        <v>0</v>
      </c>
      <c r="I14" s="12">
        <v>0</v>
      </c>
      <c r="J14" s="12">
        <v>16050</v>
      </c>
    </row>
    <row r="15" spans="1:19" x14ac:dyDescent="0.25">
      <c r="A15" s="11" t="s">
        <v>22</v>
      </c>
      <c r="B15" s="12">
        <v>0</v>
      </c>
      <c r="C15" s="12">
        <v>2265</v>
      </c>
      <c r="D15" s="12">
        <v>6291</v>
      </c>
      <c r="E15" s="12">
        <v>0</v>
      </c>
      <c r="F15" s="12">
        <v>0</v>
      </c>
      <c r="G15" s="12">
        <v>1043</v>
      </c>
      <c r="H15" s="12">
        <v>0</v>
      </c>
      <c r="I15" s="12">
        <v>0</v>
      </c>
      <c r="J15" s="12">
        <v>9599</v>
      </c>
    </row>
    <row r="16" spans="1:19" x14ac:dyDescent="0.25">
      <c r="A16" s="11" t="s">
        <v>28</v>
      </c>
      <c r="B16" s="12">
        <v>0</v>
      </c>
      <c r="C16" s="12">
        <v>490</v>
      </c>
      <c r="D16" s="12">
        <v>4216</v>
      </c>
      <c r="E16" s="12">
        <v>0</v>
      </c>
      <c r="F16" s="12">
        <v>0</v>
      </c>
      <c r="G16" s="12">
        <v>1745</v>
      </c>
      <c r="H16" s="12">
        <v>0</v>
      </c>
      <c r="I16" s="12">
        <v>0</v>
      </c>
      <c r="J16" s="12">
        <v>6451</v>
      </c>
    </row>
    <row r="17" spans="1:10" x14ac:dyDescent="0.25">
      <c r="A17" s="8" t="s">
        <v>35</v>
      </c>
      <c r="B17" s="12">
        <v>13636</v>
      </c>
      <c r="C17" s="12">
        <v>18639</v>
      </c>
      <c r="D17" s="12">
        <v>10474</v>
      </c>
      <c r="E17" s="12">
        <v>0</v>
      </c>
      <c r="F17" s="12">
        <v>9123</v>
      </c>
      <c r="G17" s="12">
        <v>2090</v>
      </c>
      <c r="H17" s="12">
        <v>0</v>
      </c>
      <c r="I17" s="12">
        <v>0</v>
      </c>
      <c r="J17" s="12">
        <v>53962</v>
      </c>
    </row>
    <row r="18" spans="1:10" x14ac:dyDescent="0.25">
      <c r="A18" s="11" t="s">
        <v>22</v>
      </c>
      <c r="B18" s="12">
        <v>10952</v>
      </c>
      <c r="C18" s="12">
        <v>16204</v>
      </c>
      <c r="D18" s="12">
        <v>1054</v>
      </c>
      <c r="E18" s="12">
        <v>0</v>
      </c>
      <c r="F18" s="12">
        <v>6302</v>
      </c>
      <c r="G18" s="12">
        <v>1047</v>
      </c>
      <c r="H18" s="12">
        <v>0</v>
      </c>
      <c r="I18" s="12">
        <v>0</v>
      </c>
      <c r="J18" s="12">
        <v>35559</v>
      </c>
    </row>
    <row r="19" spans="1:10" x14ac:dyDescent="0.25">
      <c r="A19" s="11" t="s">
        <v>28</v>
      </c>
      <c r="B19" s="12">
        <v>2684</v>
      </c>
      <c r="C19" s="12">
        <v>2435</v>
      </c>
      <c r="D19" s="12">
        <v>9420</v>
      </c>
      <c r="E19" s="12">
        <v>0</v>
      </c>
      <c r="F19" s="12">
        <v>2821</v>
      </c>
      <c r="G19" s="12">
        <v>1043</v>
      </c>
      <c r="H19" s="12">
        <v>0</v>
      </c>
      <c r="I19" s="12">
        <v>0</v>
      </c>
      <c r="J19" s="12">
        <v>18403</v>
      </c>
    </row>
    <row r="20" spans="1:10" x14ac:dyDescent="0.25">
      <c r="A20" s="8" t="s">
        <v>21</v>
      </c>
      <c r="B20" s="12">
        <v>43605</v>
      </c>
      <c r="C20" s="12">
        <v>28932</v>
      </c>
      <c r="D20" s="12">
        <v>0</v>
      </c>
      <c r="E20" s="12">
        <v>13636</v>
      </c>
      <c r="F20" s="12">
        <v>0</v>
      </c>
      <c r="G20" s="12">
        <v>4194</v>
      </c>
      <c r="H20" s="12">
        <v>2086</v>
      </c>
      <c r="I20" s="12">
        <v>1043</v>
      </c>
      <c r="J20" s="12">
        <v>93496</v>
      </c>
    </row>
    <row r="21" spans="1:10" x14ac:dyDescent="0.25">
      <c r="A21" s="11" t="s">
        <v>22</v>
      </c>
      <c r="B21" s="12">
        <v>27570</v>
      </c>
      <c r="C21" s="12">
        <v>13276</v>
      </c>
      <c r="D21" s="12">
        <v>0</v>
      </c>
      <c r="E21" s="12">
        <v>8410</v>
      </c>
      <c r="F21" s="12">
        <v>0</v>
      </c>
      <c r="G21" s="12">
        <v>1043</v>
      </c>
      <c r="H21" s="12">
        <v>2086</v>
      </c>
      <c r="I21" s="12">
        <v>0</v>
      </c>
      <c r="J21" s="12">
        <v>52385</v>
      </c>
    </row>
    <row r="22" spans="1:10" x14ac:dyDescent="0.25">
      <c r="A22" s="11" t="s">
        <v>28</v>
      </c>
      <c r="B22" s="12">
        <v>16035</v>
      </c>
      <c r="C22" s="12">
        <v>15656</v>
      </c>
      <c r="D22" s="12">
        <v>0</v>
      </c>
      <c r="E22" s="12">
        <v>5226</v>
      </c>
      <c r="F22" s="12">
        <v>0</v>
      </c>
      <c r="G22" s="12">
        <v>3151</v>
      </c>
      <c r="H22" s="12">
        <v>0</v>
      </c>
      <c r="I22" s="12">
        <v>1043</v>
      </c>
      <c r="J22" s="12">
        <v>41111</v>
      </c>
    </row>
    <row r="23" spans="1:10" x14ac:dyDescent="0.25">
      <c r="A23" s="8" t="s">
        <v>159</v>
      </c>
      <c r="B23" s="12">
        <v>57241</v>
      </c>
      <c r="C23" s="12">
        <v>50326</v>
      </c>
      <c r="D23" s="12">
        <v>20981</v>
      </c>
      <c r="E23" s="12">
        <v>13636</v>
      </c>
      <c r="F23" s="12">
        <v>9123</v>
      </c>
      <c r="G23" s="12">
        <v>9072</v>
      </c>
      <c r="H23" s="12">
        <v>2086</v>
      </c>
      <c r="I23" s="12">
        <v>1043</v>
      </c>
      <c r="J23" s="12">
        <v>163508</v>
      </c>
    </row>
  </sheetData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>
      <selection activeCell="F23" sqref="F23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schemas.microsoft.com/office/2006/documentManagement/types"/>
    <ds:schemaRef ds:uri="http://www.w3.org/XML/1998/namespace"/>
    <ds:schemaRef ds:uri="ef7ae401-bd17-41a5-97cb-ef653218410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cf0ffbd-cd96-4ba4-bd4f-bd34e8409846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Computer LAB</cp:lastModifiedBy>
  <cp:revision/>
  <cp:lastPrinted>2026-02-20T03:48:19Z</cp:lastPrinted>
  <dcterms:created xsi:type="dcterms:W3CDTF">2022-11-04T20:14:11Z</dcterms:created>
  <dcterms:modified xsi:type="dcterms:W3CDTF">2026-02-20T03:48:25Z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